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talog" sheetId="1" state="visible" r:id="rId3"/>
    <sheet name="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<sst xmlns="http://schemas.openxmlformats.org/spreadsheetml/2006/main" count="177" uniqueCount="120">
  <si>
    <t xml:space="preserve">rowid</t>
  </si>
  <si>
    <t xml:space="preserve">color</t>
  </si>
  <si>
    <t xml:space="preserve">rank</t>
  </si>
  <si>
    <t xml:space="preserve">wavelength_nm</t>
  </si>
  <si>
    <t xml:space="preserve">vf_typ_V</t>
  </si>
  <si>
    <t xml:space="preserve">vf_min_V</t>
  </si>
  <si>
    <t xml:space="preserve">vf_max_V</t>
  </si>
  <si>
    <t xml:space="preserve">imax_mA</t>
  </si>
  <si>
    <t xml:space="preserve">imax_source</t>
  </si>
  <si>
    <t xml:space="preserve">i_test_mA</t>
  </si>
  <si>
    <t xml:space="preserve">flux</t>
  </si>
  <si>
    <t xml:space="preserve">viewing_angle</t>
  </si>
  <si>
    <t xml:space="preserve">package</t>
  </si>
  <si>
    <t xml:space="preserve">price_USD</t>
  </si>
  <si>
    <t xml:space="preserve">n_leds</t>
  </si>
  <si>
    <t xml:space="preserve">color_group</t>
  </si>
  <si>
    <t xml:space="preserve">notes</t>
  </si>
  <si>
    <t xml:space="preserve">Violet</t>
  </si>
  <si>
    <t xml:space="preserve">410nm dom/420nm peak</t>
  </si>
  <si>
    <t xml:space="preserve">datasheet</t>
  </si>
  <si>
    <t xml:space="preserve">—</t>
  </si>
  <si>
    <t xml:space="preserve">130°</t>
  </si>
  <si>
    <t xml:space="preserve">0603 (1608)</t>
  </si>
  <si>
    <t xml:space="preserve">Confirmed: Imax=30mA, Pdmax=120mW, Vf 2.8-4.0V. Only true violet in catalog.</t>
  </si>
  <si>
    <t xml:space="preserve">455nm dom</t>
  </si>
  <si>
    <t xml:space="preserve">estimated</t>
  </si>
  <si>
    <t xml:space="preserve">850 mcd</t>
  </si>
  <si>
    <t xml:space="preserve">120°</t>
  </si>
  <si>
    <t xml:space="preserve">1411 (3528)</t>
  </si>
  <si>
    <t xml:space="preserve">Imax estimated from package/test current.</t>
  </si>
  <si>
    <t xml:space="preserve">455nm (450-460nm)</t>
  </si>
  <si>
    <t xml:space="preserve">265 mW</t>
  </si>
  <si>
    <t xml:space="preserve">124°</t>
  </si>
  <si>
    <t xml:space="preserve">Power LED. Budget-constrained to &lt;50% Imax even at High level.</t>
  </si>
  <si>
    <t xml:space="preserve">Blue</t>
  </si>
  <si>
    <t xml:space="preserve">475nm (470-480nm)</t>
  </si>
  <si>
    <t xml:space="preserve">20 lm</t>
  </si>
  <si>
    <t xml:space="preserve">126°</t>
  </si>
  <si>
    <t xml:space="preserve">2100 mcd</t>
  </si>
  <si>
    <t xml:space="preserve">4-SMD J-Lead</t>
  </si>
  <si>
    <t xml:space="preserve">Imax estimated.</t>
  </si>
  <si>
    <t xml:space="preserve">465nm (460-470nm)</t>
  </si>
  <si>
    <t xml:space="preserve">11 lm</t>
  </si>
  <si>
    <t xml:space="preserve">Green</t>
  </si>
  <si>
    <t xml:space="preserve">525nm (520-530nm)</t>
  </si>
  <si>
    <t xml:space="preserve">62 lm</t>
  </si>
  <si>
    <t xml:space="preserve">Best value in catalog.</t>
  </si>
  <si>
    <t xml:space="preserve">525nm dom/515nm peak</t>
  </si>
  <si>
    <t xml:space="preserve">1000 mcd</t>
  </si>
  <si>
    <t xml:space="preserve">Indicator class. Imax estimated.</t>
  </si>
  <si>
    <t xml:space="preserve">525nm dom/520nm peak</t>
  </si>
  <si>
    <t xml:space="preserve">8000 mcd</t>
  </si>
  <si>
    <t xml:space="preserve">High-brightness indicator. Imax estimated.</t>
  </si>
  <si>
    <t xml:space="preserve">Red</t>
  </si>
  <si>
    <t xml:space="preserve">625nm (620-630nm)</t>
  </si>
  <si>
    <t xml:space="preserve">26 lm</t>
  </si>
  <si>
    <t xml:space="preserve">122°</t>
  </si>
  <si>
    <t xml:space="preserve">Perfect wavelength and price.</t>
  </si>
  <si>
    <t xml:space="preserve">624nm dom/632nm peak</t>
  </si>
  <si>
    <t xml:space="preserve">4500 mcd</t>
  </si>
  <si>
    <t xml:space="preserve">Lower Vf. Imax estimated.</t>
  </si>
  <si>
    <t xml:space="preserve">620nm (typ)</t>
  </si>
  <si>
    <t xml:space="preserve">24 lm</t>
  </si>
  <si>
    <t xml:space="preserve">Lower Imax than row 3.</t>
  </si>
  <si>
    <t xml:space="preserve">LED Color Analyzer — Driver Design Calculator</t>
  </si>
  <si>
    <t xml:space="preserve">Design Parameters</t>
  </si>
  <si>
    <t xml:space="preserve">Supply voltage (V)</t>
  </si>
  <si>
    <t xml:space="preserve">Vcc</t>
  </si>
  <si>
    <t xml:space="preserve">V</t>
  </si>
  <si>
    <t xml:space="preserve">Exact 5V supply — no LDO possible (LDO needs Vin &gt; Vout)</t>
  </si>
  <si>
    <t xml:space="preserve">Max total current budget (mA)</t>
  </si>
  <si>
    <t xml:space="preserve">Ibudg</t>
  </si>
  <si>
    <t xml:space="preserve">mA</t>
  </si>
  <si>
    <t xml:space="preserve">500mA available for LEDs (2.5A supply shared with RPi Zero 2W)</t>
  </si>
  <si>
    <t xml:space="preserve">Max exposure time (s)</t>
  </si>
  <si>
    <t xml:space="preserve">Texp</t>
  </si>
  <si>
    <t xml:space="preserve">s</t>
  </si>
  <si>
    <t xml:space="preserve">Camera max exposure per channel</t>
  </si>
  <si>
    <t xml:space="preserve">Target brightness range</t>
  </si>
  <si>
    <t xml:space="preserve">Low≈40%, Med≈60%, High≈80% of Imax per LED</t>
  </si>
  <si>
    <t xml:space="preserve">E24 resistor series (Ω) — reference for R E24 column</t>
  </si>
  <si>
    <t xml:space="preserve">Row ID
(enter)</t>
  </si>
  <si>
    <t xml:space="preserve">Color
Group</t>
  </si>
  <si>
    <t xml:space="preserve">Rank</t>
  </si>
  <si>
    <t xml:space="preserve">Wavelength</t>
  </si>
  <si>
    <t xml:space="preserve">Vf typ
(V)</t>
  </si>
  <si>
    <t xml:space="preserve">Vf min
(V)</t>
  </si>
  <si>
    <t xml:space="preserve">Vf max
(V)</t>
  </si>
  <si>
    <t xml:space="preserve">Imax
(mA)</t>
  </si>
  <si>
    <t xml:space="preserve">Imax
source</t>
  </si>
  <si>
    <t xml:space="preserve">N
LEDs</t>
  </si>
  <si>
    <t xml:space="preserve">Price
$/LED</t>
  </si>
  <si>
    <t xml:space="preserve">Rel.
Brightness
(0–1)</t>
  </si>
  <si>
    <t xml:space="preserve">I target
/LED (mA)</t>
  </si>
  <si>
    <t xml:space="preserve">R calc
(Ω)</t>
  </si>
  <si>
    <t xml:space="preserve">R E24
(Ω)
[suggest]</t>
  </si>
  <si>
    <t xml:space="preserve">I actual
/LED (mA)</t>
  </si>
  <si>
    <t xml:space="preserve">I total
group (mA)</t>
  </si>
  <si>
    <t xml:space="preserve">% of
Imax</t>
  </si>
  <si>
    <t xml:space="preserve">V drop
across R (V)</t>
  </si>
  <si>
    <t xml:space="preserve">P per
LED (mW)</t>
  </si>
  <si>
    <t xml:space="preserve">P resistor
(mW)</t>
  </si>
  <si>
    <t xml:space="preserve">Budget
OK?</t>
  </si>
  <si>
    <t xml:space="preserve">Warnings / Notes</t>
  </si>
  <si>
    <t xml:space="preserve">#</t>
  </si>
  <si>
    <t xml:space="preserve">$</t>
  </si>
  <si>
    <t xml:space="preserve">0–1</t>
  </si>
  <si>
    <t xml:space="preserve">Ω</t>
  </si>
  <si>
    <t xml:space="preserve">%</t>
  </si>
  <si>
    <t xml:space="preserve">mW</t>
  </si>
  <si>
    <t xml:space="preserve">Max single-group total current (worst case in table):</t>
  </si>
  <si>
    <t xml:space="preserve">KEY:  Blue text / light blue background = cells you enter or can change  |  Green text = looked up from Catalog sheet  |  Black text = calculated  |  Amber column O = suggested E24 resistor (override by typing your chosen value)  |  Column J (N LEDs) can also be changed</t>
  </si>
  <si>
    <t xml:space="preserve">Vf_max Headroom Check</t>
  </si>
  <si>
    <t xml:space="preserve">At worst-case Vf_max, current through R_E24 could be very low. Check here.</t>
  </si>
  <si>
    <t xml:space="preserve">Row</t>
  </si>
  <si>
    <t xml:space="preserve">R E24 (Ω)</t>
  </si>
  <si>
    <t xml:space="preserve">I @ Vf_max (mA)</t>
  </si>
  <si>
    <t xml:space="preserve">I @ Vf_typ (mA)</t>
  </si>
  <si>
    <t xml:space="preserve">Ratio max/typ</t>
  </si>
  <si>
    <t xml:space="preserve">Headroom note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</si>
</sst>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0.00"/>
    <numFmt numFmtId="168" formatCode="0.000"/>
    <numFmt numFmtId="169" formatCode="0.0"/>
    <numFmt numFmtId="170" formatCode="General"/>
    <numFmt numFmtId="171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9"/>
      <color rgb="FF555555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0000CC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9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DE9FE"/>
        <bgColor rgb="FFF0F4F8"/>
      </patternFill>
    </fill>
    <fill>
      <patternFill patternType="solid">
        <fgColor rgb="FFDBEAFE"/>
        <bgColor rgb="FFD6EAF8"/>
      </patternFill>
    </fill>
    <fill>
      <patternFill patternType="solid">
        <fgColor rgb="FFDCFCE7"/>
        <bgColor rgb="FFEBF5FB"/>
      </patternFill>
    </fill>
    <fill>
      <patternFill patternType="solid">
        <fgColor rgb="FFFEE2E2"/>
        <bgColor rgb="FFEDE9FE"/>
      </patternFill>
    </fill>
    <fill>
      <patternFill patternType="solid">
        <fgColor rgb="FF2D6A9F"/>
        <bgColor rgb="FF3465A4"/>
      </patternFill>
    </fill>
    <fill>
      <patternFill patternType="solid">
        <fgColor rgb="FFD6EAF8"/>
        <bgColor rgb="FFDBEAFE"/>
      </patternFill>
    </fill>
    <fill>
      <patternFill patternType="solid">
        <fgColor rgb="FFEBF5FB"/>
        <bgColor rgb="FFF0F4F8"/>
      </patternFill>
    </fill>
    <fill>
      <patternFill patternType="solid">
        <fgColor rgb="FFF8F8F8"/>
        <bgColor rgb="FFF0F4F8"/>
      </patternFill>
    </fill>
    <fill>
      <patternFill patternType="solid">
        <fgColor rgb="FF3465A4"/>
        <bgColor rgb="FF2D6A9F"/>
      </patternFill>
    </fill>
    <fill>
      <patternFill patternType="solid">
        <fgColor rgb="FFE8A202"/>
        <bgColor rgb="FFFFCC00"/>
      </patternFill>
    </fill>
    <fill>
      <patternFill patternType="solid">
        <fgColor rgb="FFF0F4F8"/>
        <bgColor rgb="FFEBF5FB"/>
      </patternFill>
    </fill>
    <fill>
      <patternFill patternType="solid">
        <fgColor rgb="FFFFF3CD"/>
        <bgColor rgb="FFFEE2E2"/>
      </patternFill>
    </fill>
    <fill>
      <patternFill patternType="solid">
        <fgColor rgb="FFFDFEFE"/>
        <bgColor rgb="FFFFFFFF"/>
      </patternFill>
    </fill>
    <fill>
      <patternFill patternType="solid">
        <fgColor rgb="FFFFFFFF"/>
        <bgColor rgb="FFFDFE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3CD"/>
      <rgbColor rgb="FFDCFCE7"/>
      <rgbColor rgb="FF660066"/>
      <rgbColor rgb="FFFF8080"/>
      <rgbColor rgb="FF2D6A9F"/>
      <rgbColor rgb="FFDBEA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BF5FB"/>
      <rgbColor rgb="FFF8F8F8"/>
      <rgbColor rgb="FFEDE9FE"/>
      <rgbColor rgb="FFF0F4F8"/>
      <rgbColor rgb="FFFDFEFE"/>
      <rgbColor rgb="FFFEE2E2"/>
      <rgbColor rgb="FF3465A4"/>
      <rgbColor rgb="FF33CCCC"/>
      <rgbColor rgb="FF99CC00"/>
      <rgbColor rgb="FFFFCC00"/>
      <rgbColor rgb="FFE8A202"/>
      <rgbColor rgb="FFFF6600"/>
      <rgbColor rgb="FF666666"/>
      <rgbColor rgb="FF969696"/>
      <rgbColor rgb="FF1E3A5F"/>
      <rgbColor rgb="FF339966"/>
      <rgbColor rgb="FF003300"/>
      <rgbColor rgb="FF333300"/>
      <rgbColor rgb="FF7B4F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9F"/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8" activeCellId="0" sqref="B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4" min="4" style="1" width="14"/>
    <col collapsed="false" customWidth="true" hidden="false" outlineLevel="0" max="8" min="5" style="1" width="10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10"/>
    <col collapsed="false" customWidth="true" hidden="false" outlineLevel="0" max="15" min="15" style="1" width="8"/>
    <col collapsed="false" customWidth="true" hidden="false" outlineLevel="0" max="16" min="16" style="1" width="12"/>
    <col collapsed="false" customWidth="true" hidden="false" outlineLevel="0" max="17" min="17" style="1" width="4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n">
        <v>1015</v>
      </c>
      <c r="B2" s="4" t="s">
        <v>17</v>
      </c>
      <c r="C2" s="3" t="n">
        <v>1</v>
      </c>
      <c r="D2" s="4" t="s">
        <v>18</v>
      </c>
      <c r="E2" s="5" t="n">
        <v>2.8</v>
      </c>
      <c r="F2" s="5" t="n">
        <v>2.8</v>
      </c>
      <c r="G2" s="5" t="n">
        <v>4</v>
      </c>
      <c r="H2" s="3" t="n">
        <v>30</v>
      </c>
      <c r="I2" s="4" t="s">
        <v>19</v>
      </c>
      <c r="J2" s="3" t="n">
        <v>20</v>
      </c>
      <c r="K2" s="4" t="s">
        <v>20</v>
      </c>
      <c r="L2" s="4" t="s">
        <v>21</v>
      </c>
      <c r="M2" s="4" t="s">
        <v>22</v>
      </c>
      <c r="N2" s="6" t="n">
        <v>0.415</v>
      </c>
      <c r="O2" s="3" t="n">
        <v>6</v>
      </c>
      <c r="P2" s="4" t="s">
        <v>17</v>
      </c>
      <c r="Q2" s="4" t="s">
        <v>23</v>
      </c>
    </row>
    <row r="3" customFormat="false" ht="15" hidden="false" customHeight="false" outlineLevel="0" collapsed="false">
      <c r="A3" s="3" t="n">
        <v>1012</v>
      </c>
      <c r="B3" s="4" t="s">
        <v>17</v>
      </c>
      <c r="C3" s="3" t="n">
        <v>2</v>
      </c>
      <c r="D3" s="4" t="s">
        <v>24</v>
      </c>
      <c r="E3" s="5" t="n">
        <v>3</v>
      </c>
      <c r="F3" s="5" t="n">
        <v>2.8</v>
      </c>
      <c r="G3" s="5" t="n">
        <v>3.4</v>
      </c>
      <c r="H3" s="3" t="n">
        <v>100</v>
      </c>
      <c r="I3" s="4" t="s">
        <v>25</v>
      </c>
      <c r="J3" s="3" t="n">
        <v>60</v>
      </c>
      <c r="K3" s="4" t="s">
        <v>26</v>
      </c>
      <c r="L3" s="4" t="s">
        <v>27</v>
      </c>
      <c r="M3" s="4" t="s">
        <v>28</v>
      </c>
      <c r="N3" s="6" t="n">
        <v>0.29</v>
      </c>
      <c r="O3" s="3" t="n">
        <v>4</v>
      </c>
      <c r="P3" s="4" t="s">
        <v>17</v>
      </c>
      <c r="Q3" s="4" t="s">
        <v>29</v>
      </c>
    </row>
    <row r="4" customFormat="false" ht="15" hidden="false" customHeight="false" outlineLevel="0" collapsed="false">
      <c r="A4" s="3" t="n">
        <v>4</v>
      </c>
      <c r="B4" s="4" t="s">
        <v>17</v>
      </c>
      <c r="C4" s="3" t="n">
        <v>3</v>
      </c>
      <c r="D4" s="4" t="s">
        <v>30</v>
      </c>
      <c r="E4" s="5" t="n">
        <v>2.96</v>
      </c>
      <c r="F4" s="5" t="n">
        <v>2.8</v>
      </c>
      <c r="G4" s="5" t="n">
        <v>3.2</v>
      </c>
      <c r="H4" s="3" t="n">
        <v>240</v>
      </c>
      <c r="I4" s="4" t="s">
        <v>19</v>
      </c>
      <c r="J4" s="3" t="n">
        <v>140</v>
      </c>
      <c r="K4" s="4" t="s">
        <v>31</v>
      </c>
      <c r="L4" s="4" t="s">
        <v>32</v>
      </c>
      <c r="M4" s="4" t="s">
        <v>28</v>
      </c>
      <c r="N4" s="6" t="n">
        <v>0.26</v>
      </c>
      <c r="O4" s="3" t="n">
        <v>4</v>
      </c>
      <c r="P4" s="4" t="s">
        <v>17</v>
      </c>
      <c r="Q4" s="4" t="s">
        <v>33</v>
      </c>
    </row>
    <row r="5" customFormat="false" ht="15" hidden="false" customHeight="false" outlineLevel="0" collapsed="false">
      <c r="A5" s="7" t="n">
        <v>2</v>
      </c>
      <c r="B5" s="8" t="s">
        <v>34</v>
      </c>
      <c r="C5" s="7" t="n">
        <v>1</v>
      </c>
      <c r="D5" s="8" t="s">
        <v>35</v>
      </c>
      <c r="E5" s="9" t="n">
        <v>2.95</v>
      </c>
      <c r="F5" s="9" t="n">
        <v>2.75</v>
      </c>
      <c r="G5" s="9" t="n">
        <v>3.2</v>
      </c>
      <c r="H5" s="7" t="n">
        <v>240</v>
      </c>
      <c r="I5" s="8" t="s">
        <v>19</v>
      </c>
      <c r="J5" s="7" t="n">
        <v>140</v>
      </c>
      <c r="K5" s="8" t="s">
        <v>36</v>
      </c>
      <c r="L5" s="8" t="s">
        <v>37</v>
      </c>
      <c r="M5" s="8" t="s">
        <v>28</v>
      </c>
      <c r="N5" s="10" t="n">
        <v>0.24</v>
      </c>
      <c r="O5" s="7" t="n">
        <v>4</v>
      </c>
      <c r="P5" s="8" t="s">
        <v>34</v>
      </c>
      <c r="Q5" s="8"/>
    </row>
    <row r="6" customFormat="false" ht="15" hidden="false" customHeight="false" outlineLevel="0" collapsed="false">
      <c r="A6" s="7" t="n">
        <v>1014</v>
      </c>
      <c r="B6" s="8" t="s">
        <v>34</v>
      </c>
      <c r="C6" s="7" t="n">
        <v>2</v>
      </c>
      <c r="D6" s="8" t="s">
        <v>24</v>
      </c>
      <c r="E6" s="9" t="n">
        <v>3.2</v>
      </c>
      <c r="F6" s="9" t="n">
        <v>3</v>
      </c>
      <c r="G6" s="9" t="n">
        <v>3.5</v>
      </c>
      <c r="H6" s="7" t="n">
        <v>200</v>
      </c>
      <c r="I6" s="8" t="s">
        <v>25</v>
      </c>
      <c r="J6" s="7" t="n">
        <v>150</v>
      </c>
      <c r="K6" s="8" t="s">
        <v>38</v>
      </c>
      <c r="L6" s="8" t="s">
        <v>27</v>
      </c>
      <c r="M6" s="8" t="s">
        <v>39</v>
      </c>
      <c r="N6" s="10" t="n">
        <v>0.4</v>
      </c>
      <c r="O6" s="7" t="n">
        <v>4</v>
      </c>
      <c r="P6" s="8" t="s">
        <v>34</v>
      </c>
      <c r="Q6" s="8" t="s">
        <v>40</v>
      </c>
    </row>
    <row r="7" customFormat="false" ht="15" hidden="false" customHeight="false" outlineLevel="0" collapsed="false">
      <c r="A7" s="7" t="n">
        <v>102</v>
      </c>
      <c r="B7" s="8" t="s">
        <v>34</v>
      </c>
      <c r="C7" s="7" t="n">
        <v>3</v>
      </c>
      <c r="D7" s="8" t="s">
        <v>41</v>
      </c>
      <c r="E7" s="9" t="n">
        <v>3.2</v>
      </c>
      <c r="F7" s="9" t="n">
        <v>3</v>
      </c>
      <c r="G7" s="9" t="n">
        <v>3.5</v>
      </c>
      <c r="H7" s="7" t="n">
        <v>200</v>
      </c>
      <c r="I7" s="8" t="s">
        <v>19</v>
      </c>
      <c r="J7" s="7" t="n">
        <v>150</v>
      </c>
      <c r="K7" s="8" t="s">
        <v>42</v>
      </c>
      <c r="L7" s="8" t="s">
        <v>27</v>
      </c>
      <c r="M7" s="8" t="s">
        <v>28</v>
      </c>
      <c r="N7" s="10" t="n">
        <v>0.32</v>
      </c>
      <c r="O7" s="7" t="n">
        <v>4</v>
      </c>
      <c r="P7" s="8" t="s">
        <v>34</v>
      </c>
      <c r="Q7" s="8"/>
    </row>
    <row r="8" customFormat="false" ht="15" hidden="false" customHeight="false" outlineLevel="0" collapsed="false">
      <c r="A8" s="11" t="n">
        <v>1</v>
      </c>
      <c r="B8" s="12" t="s">
        <v>43</v>
      </c>
      <c r="C8" s="11" t="n">
        <v>1</v>
      </c>
      <c r="D8" s="12" t="s">
        <v>44</v>
      </c>
      <c r="E8" s="13" t="n">
        <v>2.8</v>
      </c>
      <c r="F8" s="13" t="n">
        <v>2.6</v>
      </c>
      <c r="G8" s="13" t="n">
        <v>3.2</v>
      </c>
      <c r="H8" s="11" t="n">
        <v>240</v>
      </c>
      <c r="I8" s="12" t="s">
        <v>19</v>
      </c>
      <c r="J8" s="11" t="n">
        <v>140</v>
      </c>
      <c r="K8" s="12" t="s">
        <v>45</v>
      </c>
      <c r="L8" s="12" t="s">
        <v>32</v>
      </c>
      <c r="M8" s="12" t="s">
        <v>28</v>
      </c>
      <c r="N8" s="14" t="n">
        <v>0.23</v>
      </c>
      <c r="O8" s="11" t="n">
        <v>4</v>
      </c>
      <c r="P8" s="12" t="s">
        <v>43</v>
      </c>
      <c r="Q8" s="12" t="s">
        <v>46</v>
      </c>
    </row>
    <row r="9" customFormat="false" ht="15" hidden="false" customHeight="false" outlineLevel="0" collapsed="false">
      <c r="A9" s="11" t="n">
        <v>532</v>
      </c>
      <c r="B9" s="12" t="s">
        <v>43</v>
      </c>
      <c r="C9" s="11" t="n">
        <v>2</v>
      </c>
      <c r="D9" s="12" t="s">
        <v>47</v>
      </c>
      <c r="E9" s="13" t="n">
        <v>3.1</v>
      </c>
      <c r="F9" s="13" t="n">
        <v>2.9</v>
      </c>
      <c r="G9" s="13" t="n">
        <v>3.5</v>
      </c>
      <c r="H9" s="11" t="n">
        <v>30</v>
      </c>
      <c r="I9" s="12" t="s">
        <v>25</v>
      </c>
      <c r="J9" s="11" t="n">
        <v>20</v>
      </c>
      <c r="K9" s="12" t="s">
        <v>48</v>
      </c>
      <c r="L9" s="12" t="s">
        <v>27</v>
      </c>
      <c r="M9" s="12" t="s">
        <v>28</v>
      </c>
      <c r="N9" s="14" t="n">
        <v>0.19</v>
      </c>
      <c r="O9" s="11" t="n">
        <v>4</v>
      </c>
      <c r="P9" s="12" t="s">
        <v>43</v>
      </c>
      <c r="Q9" s="12" t="s">
        <v>49</v>
      </c>
    </row>
    <row r="10" customFormat="false" ht="15" hidden="false" customHeight="false" outlineLevel="0" collapsed="false">
      <c r="A10" s="11" t="n">
        <v>783</v>
      </c>
      <c r="B10" s="12" t="s">
        <v>43</v>
      </c>
      <c r="C10" s="11" t="n">
        <v>3</v>
      </c>
      <c r="D10" s="12" t="s">
        <v>50</v>
      </c>
      <c r="E10" s="13" t="n">
        <v>3.4</v>
      </c>
      <c r="F10" s="13" t="n">
        <v>3.2</v>
      </c>
      <c r="G10" s="13" t="n">
        <v>3.8</v>
      </c>
      <c r="H10" s="11" t="n">
        <v>200</v>
      </c>
      <c r="I10" s="12" t="s">
        <v>25</v>
      </c>
      <c r="J10" s="11" t="n">
        <v>150</v>
      </c>
      <c r="K10" s="12" t="s">
        <v>51</v>
      </c>
      <c r="L10" s="12" t="s">
        <v>27</v>
      </c>
      <c r="M10" s="12" t="s">
        <v>28</v>
      </c>
      <c r="N10" s="14" t="n">
        <v>0.36</v>
      </c>
      <c r="O10" s="11" t="n">
        <v>4</v>
      </c>
      <c r="P10" s="12" t="s">
        <v>43</v>
      </c>
      <c r="Q10" s="12" t="s">
        <v>52</v>
      </c>
    </row>
    <row r="11" customFormat="false" ht="15" hidden="false" customHeight="false" outlineLevel="0" collapsed="false">
      <c r="A11" s="15" t="n">
        <v>3</v>
      </c>
      <c r="B11" s="16" t="s">
        <v>53</v>
      </c>
      <c r="C11" s="15" t="n">
        <v>1</v>
      </c>
      <c r="D11" s="16" t="s">
        <v>54</v>
      </c>
      <c r="E11" s="17" t="n">
        <v>2.2</v>
      </c>
      <c r="F11" s="17" t="n">
        <v>2</v>
      </c>
      <c r="G11" s="17" t="n">
        <v>2.6</v>
      </c>
      <c r="H11" s="15" t="n">
        <v>250</v>
      </c>
      <c r="I11" s="16" t="s">
        <v>19</v>
      </c>
      <c r="J11" s="15" t="n">
        <v>140</v>
      </c>
      <c r="K11" s="16" t="s">
        <v>55</v>
      </c>
      <c r="L11" s="16" t="s">
        <v>56</v>
      </c>
      <c r="M11" s="16" t="s">
        <v>28</v>
      </c>
      <c r="N11" s="18" t="n">
        <v>0.26</v>
      </c>
      <c r="O11" s="15" t="n">
        <v>4</v>
      </c>
      <c r="P11" s="16" t="s">
        <v>53</v>
      </c>
      <c r="Q11" s="16" t="s">
        <v>57</v>
      </c>
    </row>
    <row r="12" customFormat="false" ht="15" hidden="false" customHeight="false" outlineLevel="0" collapsed="false">
      <c r="A12" s="15" t="n">
        <v>727</v>
      </c>
      <c r="B12" s="16" t="s">
        <v>53</v>
      </c>
      <c r="C12" s="15" t="n">
        <v>2</v>
      </c>
      <c r="D12" s="16" t="s">
        <v>58</v>
      </c>
      <c r="E12" s="17" t="n">
        <v>2</v>
      </c>
      <c r="F12" s="17" t="n">
        <v>1.8</v>
      </c>
      <c r="G12" s="17" t="n">
        <v>2.4</v>
      </c>
      <c r="H12" s="15" t="n">
        <v>200</v>
      </c>
      <c r="I12" s="16" t="s">
        <v>25</v>
      </c>
      <c r="J12" s="15" t="n">
        <v>150</v>
      </c>
      <c r="K12" s="16" t="s">
        <v>59</v>
      </c>
      <c r="L12" s="16" t="s">
        <v>27</v>
      </c>
      <c r="M12" s="16" t="s">
        <v>28</v>
      </c>
      <c r="N12" s="18" t="n">
        <v>0.33</v>
      </c>
      <c r="O12" s="15" t="n">
        <v>4</v>
      </c>
      <c r="P12" s="16" t="s">
        <v>53</v>
      </c>
      <c r="Q12" s="16" t="s">
        <v>60</v>
      </c>
    </row>
    <row r="13" customFormat="false" ht="15" hidden="false" customHeight="false" outlineLevel="0" collapsed="false">
      <c r="A13" s="15" t="n">
        <v>6</v>
      </c>
      <c r="B13" s="16" t="s">
        <v>53</v>
      </c>
      <c r="C13" s="15" t="n">
        <v>3</v>
      </c>
      <c r="D13" s="16" t="s">
        <v>61</v>
      </c>
      <c r="E13" s="17" t="n">
        <v>2.2</v>
      </c>
      <c r="F13" s="17" t="n">
        <v>2</v>
      </c>
      <c r="G13" s="17" t="n">
        <v>2.6</v>
      </c>
      <c r="H13" s="15" t="n">
        <v>200</v>
      </c>
      <c r="I13" s="16" t="s">
        <v>19</v>
      </c>
      <c r="J13" s="15" t="n">
        <v>150</v>
      </c>
      <c r="K13" s="16" t="s">
        <v>62</v>
      </c>
      <c r="L13" s="16" t="s">
        <v>27</v>
      </c>
      <c r="M13" s="16" t="s">
        <v>28</v>
      </c>
      <c r="N13" s="18" t="n">
        <v>0.32</v>
      </c>
      <c r="O13" s="15" t="n">
        <v>4</v>
      </c>
      <c r="P13" s="16" t="s">
        <v>53</v>
      </c>
      <c r="Q13" s="1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BX5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M25" activeCellId="0" sqref="M25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8" min="5" style="1" width="10"/>
    <col collapsed="false" customWidth="true" hidden="false" outlineLevel="0" max="10" min="9" style="1" width="8"/>
    <col collapsed="false" customWidth="true" hidden="false" outlineLevel="0" max="17" min="11" style="1" width="14"/>
    <col collapsed="false" customWidth="true" hidden="false" outlineLevel="0" max="18" min="18" style="1" width="12"/>
    <col collapsed="false" customWidth="true" hidden="false" outlineLevel="0" max="21" min="19" style="1" width="14"/>
    <col collapsed="false" customWidth="true" hidden="false" outlineLevel="0" max="22" min="22" style="1" width="16"/>
    <col collapsed="false" customWidth="true" hidden="false" outlineLevel="0" max="23" min="23" style="1" width="60.11"/>
  </cols>
  <sheetData>
    <row r="1" customFormat="false" ht="24" hidden="false" customHeight="true" outlineLevel="0" collapsed="false">
      <c r="A1" s="19" t="s">
        <v>64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3" customFormat="false" ht="18" hidden="false" customHeight="true" outlineLevel="0" collapsed="false">
      <c r="A3" s="20" t="s">
        <v>65</v>
      </c>
      <c r="B3" s="20"/>
      <c r="C3" s="20"/>
    </row>
    <row r="4" customFormat="false" ht="19.5" hidden="false" customHeight="true" outlineLevel="0" collapsed="false">
      <c r="A4" s="21" t="s">
        <v>66</v>
      </c>
      <c r="B4" s="21"/>
      <c r="C4" s="22" t="s">
        <v>67</v>
      </c>
      <c r="D4" s="23" t="n">
        <v>4.5</v>
      </c>
      <c r="E4" s="24" t="s">
        <v>68</v>
      </c>
      <c r="F4" s="25" t="s">
        <v>69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customFormat="false" ht="19.5" hidden="false" customHeight="true" outlineLevel="0" collapsed="false">
      <c r="A5" s="21" t="s">
        <v>70</v>
      </c>
      <c r="B5" s="21"/>
      <c r="C5" s="22" t="s">
        <v>71</v>
      </c>
      <c r="D5" s="26" t="n">
        <v>500</v>
      </c>
      <c r="E5" s="24" t="s">
        <v>72</v>
      </c>
      <c r="F5" s="25" t="s">
        <v>73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customFormat="false" ht="19.5" hidden="false" customHeight="true" outlineLevel="0" collapsed="false">
      <c r="A6" s="21" t="s">
        <v>74</v>
      </c>
      <c r="B6" s="21"/>
      <c r="C6" s="22" t="s">
        <v>75</v>
      </c>
      <c r="D6" s="27" t="n">
        <v>1.2</v>
      </c>
      <c r="E6" s="24" t="s">
        <v>76</v>
      </c>
      <c r="F6" s="25" t="s">
        <v>77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customFormat="false" ht="19.5" hidden="false" customHeight="true" outlineLevel="0" collapsed="false">
      <c r="A7" s="21" t="s">
        <v>78</v>
      </c>
      <c r="B7" s="21"/>
      <c r="C7" s="22"/>
      <c r="D7" s="28"/>
      <c r="E7" s="24"/>
      <c r="F7" s="25" t="s">
        <v>79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9" customFormat="false" ht="13.5" hidden="false" customHeight="true" outlineLevel="0" collapsed="false">
      <c r="A9" s="29" t="s">
        <v>80</v>
      </c>
      <c r="B9" s="29"/>
      <c r="C9" s="29"/>
    </row>
    <row r="10" customFormat="false" ht="12" hidden="false" customHeight="true" outlineLevel="0" collapsed="false">
      <c r="D10" s="30" t="n">
        <v>1</v>
      </c>
      <c r="E10" s="30" t="n">
        <v>1.1</v>
      </c>
      <c r="F10" s="30" t="n">
        <v>1.2</v>
      </c>
      <c r="G10" s="30" t="n">
        <v>1.3</v>
      </c>
      <c r="H10" s="30" t="n">
        <v>1.5</v>
      </c>
      <c r="I10" s="30" t="n">
        <v>1.6</v>
      </c>
      <c r="J10" s="30" t="n">
        <v>1.8</v>
      </c>
      <c r="K10" s="30" t="n">
        <v>2</v>
      </c>
      <c r="L10" s="30" t="n">
        <v>2.2</v>
      </c>
      <c r="M10" s="30" t="n">
        <v>2.4</v>
      </c>
      <c r="N10" s="30" t="n">
        <v>2.7</v>
      </c>
      <c r="O10" s="30" t="n">
        <v>3</v>
      </c>
      <c r="P10" s="30" t="n">
        <v>3.3</v>
      </c>
      <c r="Q10" s="30" t="n">
        <v>3.6</v>
      </c>
      <c r="R10" s="30" t="n">
        <v>3.9</v>
      </c>
      <c r="S10" s="30" t="n">
        <v>4.3</v>
      </c>
      <c r="T10" s="30" t="n">
        <v>4.7</v>
      </c>
      <c r="U10" s="30" t="n">
        <v>5.1</v>
      </c>
      <c r="V10" s="30" t="n">
        <v>5.6</v>
      </c>
      <c r="W10" s="30" t="n">
        <v>6.2</v>
      </c>
      <c r="X10" s="30" t="n">
        <v>6.8</v>
      </c>
      <c r="Y10" s="30" t="n">
        <v>7.5</v>
      </c>
      <c r="Z10" s="30" t="n">
        <v>8.2</v>
      </c>
      <c r="AA10" s="30" t="n">
        <v>9.1</v>
      </c>
      <c r="AB10" s="30" t="n">
        <v>10</v>
      </c>
      <c r="AC10" s="30" t="n">
        <v>11</v>
      </c>
      <c r="AD10" s="30" t="n">
        <v>12</v>
      </c>
      <c r="AE10" s="30" t="n">
        <v>13</v>
      </c>
      <c r="AF10" s="30" t="n">
        <v>15</v>
      </c>
      <c r="AG10" s="30" t="n">
        <v>16</v>
      </c>
      <c r="AH10" s="30" t="n">
        <v>18</v>
      </c>
      <c r="AI10" s="30" t="n">
        <v>20</v>
      </c>
      <c r="AJ10" s="30" t="n">
        <v>22</v>
      </c>
      <c r="AK10" s="30" t="n">
        <v>24</v>
      </c>
      <c r="AL10" s="30" t="n">
        <v>27</v>
      </c>
      <c r="AM10" s="30" t="n">
        <v>30</v>
      </c>
      <c r="AN10" s="30" t="n">
        <v>33</v>
      </c>
      <c r="AO10" s="30" t="n">
        <v>36</v>
      </c>
      <c r="AP10" s="30" t="n">
        <v>39</v>
      </c>
      <c r="AQ10" s="30" t="n">
        <v>43</v>
      </c>
      <c r="AR10" s="30" t="n">
        <v>47</v>
      </c>
      <c r="AS10" s="30" t="n">
        <v>51</v>
      </c>
      <c r="AT10" s="30" t="n">
        <v>56</v>
      </c>
      <c r="AU10" s="30" t="n">
        <v>62</v>
      </c>
      <c r="AV10" s="30" t="n">
        <v>68</v>
      </c>
      <c r="AW10" s="30" t="n">
        <v>75</v>
      </c>
      <c r="AX10" s="30" t="n">
        <v>82</v>
      </c>
      <c r="AY10" s="30" t="n">
        <v>91</v>
      </c>
      <c r="AZ10" s="30" t="n">
        <v>100</v>
      </c>
      <c r="BA10" s="30" t="n">
        <v>110</v>
      </c>
      <c r="BB10" s="30" t="n">
        <v>120</v>
      </c>
      <c r="BC10" s="30" t="n">
        <v>130</v>
      </c>
      <c r="BD10" s="30" t="n">
        <v>150</v>
      </c>
      <c r="BE10" s="30" t="n">
        <v>160</v>
      </c>
      <c r="BF10" s="30" t="n">
        <v>180</v>
      </c>
      <c r="BG10" s="30" t="n">
        <v>200</v>
      </c>
      <c r="BH10" s="30" t="n">
        <v>220</v>
      </c>
      <c r="BI10" s="30" t="n">
        <v>240</v>
      </c>
      <c r="BJ10" s="30" t="n">
        <v>270</v>
      </c>
      <c r="BK10" s="30" t="n">
        <v>300</v>
      </c>
      <c r="BL10" s="30" t="n">
        <v>330</v>
      </c>
      <c r="BM10" s="30" t="n">
        <v>360</v>
      </c>
      <c r="BN10" s="30" t="n">
        <v>390</v>
      </c>
      <c r="BO10" s="30" t="n">
        <v>430</v>
      </c>
      <c r="BP10" s="30" t="n">
        <v>470</v>
      </c>
      <c r="BQ10" s="30" t="n">
        <v>510</v>
      </c>
      <c r="BR10" s="30" t="n">
        <v>560</v>
      </c>
      <c r="BS10" s="30" t="n">
        <v>620</v>
      </c>
      <c r="BT10" s="30" t="n">
        <v>680</v>
      </c>
      <c r="BU10" s="30" t="n">
        <v>750</v>
      </c>
      <c r="BV10" s="30" t="n">
        <v>820</v>
      </c>
      <c r="BW10" s="30" t="n">
        <v>910</v>
      </c>
      <c r="BX10" s="30" t="n">
        <v>1000</v>
      </c>
    </row>
    <row r="13" customFormat="false" ht="45" hidden="false" customHeight="true" outlineLevel="0" collapsed="false">
      <c r="A13" s="31" t="s">
        <v>81</v>
      </c>
      <c r="B13" s="32" t="s">
        <v>82</v>
      </c>
      <c r="C13" s="32" t="s">
        <v>83</v>
      </c>
      <c r="D13" s="32" t="s">
        <v>84</v>
      </c>
      <c r="E13" s="32" t="s">
        <v>85</v>
      </c>
      <c r="F13" s="32" t="s">
        <v>86</v>
      </c>
      <c r="G13" s="32" t="s">
        <v>87</v>
      </c>
      <c r="H13" s="32" t="s">
        <v>88</v>
      </c>
      <c r="I13" s="32" t="s">
        <v>89</v>
      </c>
      <c r="J13" s="32" t="s">
        <v>90</v>
      </c>
      <c r="K13" s="32" t="s">
        <v>91</v>
      </c>
      <c r="L13" s="31" t="s">
        <v>92</v>
      </c>
      <c r="M13" s="33" t="s">
        <v>93</v>
      </c>
      <c r="N13" s="33" t="s">
        <v>94</v>
      </c>
      <c r="O13" s="34" t="s">
        <v>95</v>
      </c>
      <c r="P13" s="33" t="s">
        <v>96</v>
      </c>
      <c r="Q13" s="33" t="s">
        <v>97</v>
      </c>
      <c r="R13" s="33" t="s">
        <v>98</v>
      </c>
      <c r="S13" s="33" t="s">
        <v>99</v>
      </c>
      <c r="T13" s="33" t="s">
        <v>100</v>
      </c>
      <c r="U13" s="33" t="s">
        <v>101</v>
      </c>
      <c r="V13" s="33" t="s">
        <v>102</v>
      </c>
      <c r="W13" s="33" t="s">
        <v>103</v>
      </c>
    </row>
    <row r="14" customFormat="false" ht="12" hidden="false" customHeight="true" outlineLevel="0" collapsed="false">
      <c r="A14" s="35"/>
      <c r="B14" s="35"/>
      <c r="C14" s="35"/>
      <c r="D14" s="35"/>
      <c r="E14" s="35" t="s">
        <v>68</v>
      </c>
      <c r="F14" s="35" t="s">
        <v>68</v>
      </c>
      <c r="G14" s="35" t="s">
        <v>68</v>
      </c>
      <c r="H14" s="35" t="s">
        <v>72</v>
      </c>
      <c r="I14" s="35"/>
      <c r="J14" s="35" t="s">
        <v>104</v>
      </c>
      <c r="K14" s="35" t="s">
        <v>105</v>
      </c>
      <c r="L14" s="35" t="s">
        <v>106</v>
      </c>
      <c r="M14" s="35" t="s">
        <v>72</v>
      </c>
      <c r="N14" s="35" t="s">
        <v>107</v>
      </c>
      <c r="O14" s="35" t="s">
        <v>107</v>
      </c>
      <c r="P14" s="35" t="s">
        <v>72</v>
      </c>
      <c r="Q14" s="35" t="s">
        <v>72</v>
      </c>
      <c r="R14" s="35" t="s">
        <v>108</v>
      </c>
      <c r="S14" s="35" t="s">
        <v>68</v>
      </c>
      <c r="T14" s="35" t="s">
        <v>109</v>
      </c>
      <c r="U14" s="35" t="s">
        <v>109</v>
      </c>
      <c r="V14" s="35"/>
      <c r="W14" s="35"/>
    </row>
    <row r="15" customFormat="false" ht="18" hidden="false" customHeight="true" outlineLevel="0" collapsed="false">
      <c r="A15" s="26" t="n">
        <v>1015</v>
      </c>
      <c r="B15" s="36" t="str">
        <f aca="false">IFERROR(INDEX(Catalog!$B:$B,MATCH(A15,Catalog!$A:$A,0)),"")</f>
        <v>Violet</v>
      </c>
      <c r="C15" s="37" t="n">
        <f aca="false">IFERROR(INDEX(Catalog!$C:$C,MATCH(A15,Catalog!$A:$A,0)),"")</f>
        <v>1</v>
      </c>
      <c r="D15" s="38" t="str">
        <f aca="false">IFERROR(INDEX(Catalog!$D:$D,MATCH(A15,Catalog!$A:$A,0)),"")</f>
        <v>410nm dom/420nm peak</v>
      </c>
      <c r="E15" s="39" t="n">
        <f aca="false">IFERROR(INDEX(Catalog!$E:$E,MATCH(A15,Catalog!$A:$A,0)),"")</f>
        <v>2.8</v>
      </c>
      <c r="F15" s="39" t="n">
        <f aca="false">IFERROR(INDEX(Catalog!$F:$F,MATCH(A15,Catalog!$A:$A,0)),"")</f>
        <v>2.8</v>
      </c>
      <c r="G15" s="39" t="n">
        <f aca="false">IFERROR(INDEX(Catalog!$G:$G,MATCH(A15,Catalog!$A:$A,0)),"")</f>
        <v>4</v>
      </c>
      <c r="H15" s="37" t="n">
        <f aca="false">IFERROR(INDEX(Catalog!$H:$H,MATCH(A15,Catalog!$A:$A,0)),"")</f>
        <v>30</v>
      </c>
      <c r="I15" s="40" t="str">
        <f aca="false">IFERROR(INDEX(Catalog!$I:$I,MATCH(A15,Catalog!$A:$A,0)),"")</f>
        <v>datasheet</v>
      </c>
      <c r="J15" s="26" t="n">
        <v>4</v>
      </c>
      <c r="K15" s="39" t="n">
        <f aca="false">INDEX(Catalog!$N:$N,MATCH(A15,Catalog!$A:$A,0))</f>
        <v>0.415</v>
      </c>
      <c r="L15" s="41" t="n">
        <v>0.6</v>
      </c>
      <c r="M15" s="42" t="n">
        <f aca="false">H15*L15</f>
        <v>18</v>
      </c>
      <c r="N15" s="42" t="n">
        <f aca="false">($D$4-E15)/(M15/1000)</f>
        <v>94.4444444444445</v>
      </c>
      <c r="O15" s="43" t="n">
        <f aca="false" t="array" ref="O15:O15">IFERROR(INDEX($D$10:$BX$10,MATCH(MIN(ABS($D$10:$BX$10-N15)),ABS($D$10:$BX$10-N15),0)),N15)</f>
        <v>91</v>
      </c>
      <c r="P15" s="42" t="n">
        <f aca="false">($D$4-E15)/O15*1000</f>
        <v>18.6813186813187</v>
      </c>
      <c r="Q15" s="44" t="n">
        <f aca="false">P15*J15</f>
        <v>74.7252747252747</v>
      </c>
      <c r="R15" s="45" t="n">
        <f aca="false">P15/H15</f>
        <v>0.622710622710623</v>
      </c>
      <c r="S15" s="6" t="n">
        <f aca="false">P15/1000*O15</f>
        <v>1.7</v>
      </c>
      <c r="T15" s="42" t="n">
        <f aca="false">E15*P15</f>
        <v>52.3076923076923</v>
      </c>
      <c r="U15" s="42" t="n">
        <f aca="false">(P15/1000)^2*O15*1000</f>
        <v>31.7582417582418</v>
      </c>
      <c r="V15" s="46" t="str">
        <f aca="false">IFERROR(IF(Q15&lt;=$D$5,"OK","OVER"),"--")</f>
        <v>OK</v>
      </c>
      <c r="W15" s="47" t="str">
        <f aca="false">TRIM(IF(I15="estimated","* Imax estimated","")&amp;IF(ISNUMBER(Q15),IF(Q15&gt;$D$5," | OVER BUDGET",""),"")&amp;IF(ISNUMBER(R15),IF(R15&gt;0.85," | &gt;85% Imax",""),"")&amp;IF(AND(ISNUMBER(G15),ISNUMBER(E15)),IF(G15-E15&gt;0.5," | Wide Vf range",""),"")&amp;IF(ISNUMBER(U15),IF(U15&gt;250," | R&gt;250mW: use 1206",""),""))</f>
        <v>| Wide Vf range</v>
      </c>
    </row>
    <row r="16" customFormat="false" ht="18" hidden="false" customHeight="true" outlineLevel="0" collapsed="false">
      <c r="A16" s="26" t="n">
        <v>1015</v>
      </c>
      <c r="B16" s="36" t="str">
        <f aca="false">IFERROR(INDEX(Catalog!$B:$B,MATCH(A16,Catalog!$A:$A,0)),"")</f>
        <v>Violet</v>
      </c>
      <c r="C16" s="37" t="n">
        <f aca="false">IFERROR(INDEX(Catalog!$C:$C,MATCH(A16,Catalog!$A:$A,0)),"")</f>
        <v>1</v>
      </c>
      <c r="D16" s="38" t="str">
        <f aca="false">IFERROR(INDEX(Catalog!$D:$D,MATCH(A16,Catalog!$A:$A,0)),"")</f>
        <v>410nm dom/420nm peak</v>
      </c>
      <c r="E16" s="39" t="n">
        <f aca="false">IFERROR(INDEX(Catalog!$E:$E,MATCH(A16,Catalog!$A:$A,0)),"")</f>
        <v>2.8</v>
      </c>
      <c r="F16" s="39" t="n">
        <f aca="false">IFERROR(INDEX(Catalog!$F:$F,MATCH(A16,Catalog!$A:$A,0)),"")</f>
        <v>2.8</v>
      </c>
      <c r="G16" s="39" t="n">
        <f aca="false">IFERROR(INDEX(Catalog!$G:$G,MATCH(A16,Catalog!$A:$A,0)),"")</f>
        <v>4</v>
      </c>
      <c r="H16" s="37" t="n">
        <f aca="false">IFERROR(INDEX(Catalog!$H:$H,MATCH(A16,Catalog!$A:$A,0)),"")</f>
        <v>30</v>
      </c>
      <c r="I16" s="40" t="str">
        <f aca="false">IFERROR(INDEX(Catalog!$I:$I,MATCH(A16,Catalog!$A:$A,0)),"")</f>
        <v>datasheet</v>
      </c>
      <c r="J16" s="26" t="n">
        <v>6</v>
      </c>
      <c r="K16" s="39" t="n">
        <f aca="false">IFERROR(INDEX(Catalog!$N:$N,MATCH(A16,Catalog!$A:$A,0)),"")</f>
        <v>0.415</v>
      </c>
      <c r="L16" s="41" t="n">
        <v>0.6</v>
      </c>
      <c r="M16" s="42" t="n">
        <f aca="false">IFERROR(H16*L16,"")</f>
        <v>18</v>
      </c>
      <c r="N16" s="42" t="n">
        <f aca="false">IFERROR(($D$4-E16)/(M16/1000),"")</f>
        <v>94.4444444444445</v>
      </c>
      <c r="O16" s="43" t="n">
        <f aca="false" t="array" ref="O16:O16">IFERROR(INDEX($D$10:$BX$10,MATCH(MIN(ABS($D$10:$BX$10-N16)),ABS($D$10:$BX$10-N16),0)),N16)</f>
        <v>91</v>
      </c>
      <c r="P16" s="42" t="n">
        <f aca="false">IFERROR(($D$4-E16)/O16*1000,"")</f>
        <v>18.6813186813187</v>
      </c>
      <c r="Q16" s="44" t="n">
        <f aca="false">IFERROR(P16*J16,"")</f>
        <v>112.087912087912</v>
      </c>
      <c r="R16" s="45" t="n">
        <f aca="false">IFERROR(P16/H16,"")</f>
        <v>0.622710622710623</v>
      </c>
      <c r="S16" s="6" t="n">
        <f aca="false">IFERROR(P16/1000*O16,"")</f>
        <v>1.7</v>
      </c>
      <c r="T16" s="42" t="n">
        <f aca="false">IFERROR(E16*P16,"")</f>
        <v>52.3076923076923</v>
      </c>
      <c r="U16" s="42" t="n">
        <f aca="false">IFERROR((P16/1000)^2*O16*1000,"")</f>
        <v>31.7582417582418</v>
      </c>
      <c r="V16" s="46" t="str">
        <f aca="false">IFERROR(IF(Q16&lt;=$D$5,"OK","OVER"),"--")</f>
        <v>OK</v>
      </c>
      <c r="W16" s="47" t="str">
        <f aca="false">TRIM(IF(I16="estimated","* Imax estimated","")&amp;IF(ISNUMBER(Q16),IF(Q16&gt;$D$5," | OVER BUDGET",""),"")&amp;IF(ISNUMBER(R16),IF(R16&gt;0.85," | &gt;85% Imax",""),"")&amp;IF(AND(ISNUMBER(G16),ISNUMBER(E16)),IF(G16-E16&gt;0.5," | Wide Vf range",""),"")&amp;IF(ISNUMBER(U16),IF(U16&gt;250," | R&gt;250mW: use 1206",""),""))</f>
        <v>| Wide Vf range</v>
      </c>
    </row>
    <row r="17" customFormat="false" ht="18" hidden="false" customHeight="true" outlineLevel="0" collapsed="false">
      <c r="A17" s="26" t="n">
        <v>1012</v>
      </c>
      <c r="B17" s="36" t="str">
        <f aca="false">IFERROR(INDEX(Catalog!$B:$B,MATCH(A17,Catalog!$A:$A,0)),"")</f>
        <v>Violet</v>
      </c>
      <c r="C17" s="37" t="n">
        <f aca="false">IFERROR(INDEX(Catalog!$C:$C,MATCH(A17,Catalog!$A:$A,0)),"")</f>
        <v>2</v>
      </c>
      <c r="D17" s="38" t="str">
        <f aca="false">IFERROR(INDEX(Catalog!$D:$D,MATCH(A17,Catalog!$A:$A,0)),"")</f>
        <v>455nm dom</v>
      </c>
      <c r="E17" s="39" t="n">
        <f aca="false">IFERROR(INDEX(Catalog!$E:$E,MATCH(A17,Catalog!$A:$A,0)),"")</f>
        <v>3</v>
      </c>
      <c r="F17" s="39" t="n">
        <f aca="false">IFERROR(INDEX(Catalog!$F:$F,MATCH(A17,Catalog!$A:$A,0)),"")</f>
        <v>2.8</v>
      </c>
      <c r="G17" s="39" t="n">
        <f aca="false">IFERROR(INDEX(Catalog!$G:$G,MATCH(A17,Catalog!$A:$A,0)),"")</f>
        <v>3.4</v>
      </c>
      <c r="H17" s="37" t="n">
        <f aca="false">IFERROR(INDEX(Catalog!$H:$H,MATCH(A17,Catalog!$A:$A,0)),"")</f>
        <v>100</v>
      </c>
      <c r="I17" s="40" t="str">
        <f aca="false">IFERROR(INDEX(Catalog!$I:$I,MATCH(A17,Catalog!$A:$A,0)),"")</f>
        <v>estimated</v>
      </c>
      <c r="J17" s="26" t="n">
        <v>4</v>
      </c>
      <c r="K17" s="39" t="n">
        <f aca="false">IFERROR(INDEX(Catalog!$N:$N,MATCH(A17,Catalog!$A:$A,0)),"")</f>
        <v>0.29</v>
      </c>
      <c r="L17" s="41" t="n">
        <v>0.6</v>
      </c>
      <c r="M17" s="42" t="n">
        <f aca="false">IFERROR(H17*L17,"")</f>
        <v>60</v>
      </c>
      <c r="N17" s="42" t="n">
        <f aca="false">IFERROR(($D$4-E17)/(M17/1000),"")</f>
        <v>25</v>
      </c>
      <c r="O17" s="43" t="n">
        <f aca="false" t="array" ref="O17:O17">IFERROR(INDEX($D$10:$BX$10,MATCH(MIN(ABS($D$10:$BX$10-N17)),ABS($D$10:$BX$10-N17),0)),N17)</f>
        <v>24</v>
      </c>
      <c r="P17" s="42" t="n">
        <f aca="false">IFERROR(($D$4-E17)/O17*1000,"")</f>
        <v>62.5</v>
      </c>
      <c r="Q17" s="44" t="n">
        <f aca="false">IFERROR(P17*J17,"")</f>
        <v>250</v>
      </c>
      <c r="R17" s="45" t="n">
        <f aca="false">IFERROR(P17/H17,"")</f>
        <v>0.625</v>
      </c>
      <c r="S17" s="6" t="n">
        <f aca="false">IFERROR(P17/1000*O17,"")</f>
        <v>1.5</v>
      </c>
      <c r="T17" s="42" t="n">
        <f aca="false">IFERROR(E17*P17,"")</f>
        <v>187.5</v>
      </c>
      <c r="U17" s="42" t="n">
        <f aca="false">IFERROR((P17/1000)^2*O17*1000,"")</f>
        <v>93.75</v>
      </c>
      <c r="V17" s="46" t="str">
        <f aca="false">IFERROR(IF(Q17&lt;=$D$5,"OK","OVER"),"--")</f>
        <v>OK</v>
      </c>
      <c r="W17" s="47" t="str">
        <f aca="false">TRIM(IF(I17="estimated","* Imax estimated","")&amp;IF(ISNUMBER(Q17),IF(Q17&gt;$D$5," | OVER BUDGET",""),"")&amp;IF(ISNUMBER(R17),IF(R17&gt;0.85," | &gt;85% Imax",""),"")&amp;IF(AND(ISNUMBER(G17),ISNUMBER(E17)),IF(G17-E17&gt;0.5," | Wide Vf range",""),"")&amp;IF(ISNUMBER(U17),IF(U17&gt;250," | R&gt;250mW: use 1206",""),""))</f>
        <v>* Imax estimated</v>
      </c>
    </row>
    <row r="18" customFormat="false" ht="18" hidden="false" customHeight="true" outlineLevel="0" collapsed="false">
      <c r="A18" s="26" t="n">
        <v>1012</v>
      </c>
      <c r="B18" s="36" t="str">
        <f aca="false">IFERROR(INDEX(Catalog!$B:$B,MATCH(A18,Catalog!$A:$A,0)),"")</f>
        <v>Violet</v>
      </c>
      <c r="C18" s="37" t="n">
        <f aca="false">IFERROR(INDEX(Catalog!$C:$C,MATCH(A18,Catalog!$A:$A,0)),"")</f>
        <v>2</v>
      </c>
      <c r="D18" s="38" t="str">
        <f aca="false">IFERROR(INDEX(Catalog!$D:$D,MATCH(A18,Catalog!$A:$A,0)),"")</f>
        <v>455nm dom</v>
      </c>
      <c r="E18" s="39" t="n">
        <f aca="false">IFERROR(INDEX(Catalog!$E:$E,MATCH(A18,Catalog!$A:$A,0)),"")</f>
        <v>3</v>
      </c>
      <c r="F18" s="39" t="n">
        <f aca="false">IFERROR(INDEX(Catalog!$F:$F,MATCH(A18,Catalog!$A:$A,0)),"")</f>
        <v>2.8</v>
      </c>
      <c r="G18" s="39" t="n">
        <f aca="false">IFERROR(INDEX(Catalog!$G:$G,MATCH(A18,Catalog!$A:$A,0)),"")</f>
        <v>3.4</v>
      </c>
      <c r="H18" s="37" t="n">
        <f aca="false">IFERROR(INDEX(Catalog!$H:$H,MATCH(A18,Catalog!$A:$A,0)),"")</f>
        <v>100</v>
      </c>
      <c r="I18" s="40" t="str">
        <f aca="false">IFERROR(INDEX(Catalog!$I:$I,MATCH(A18,Catalog!$A:$A,0)),"")</f>
        <v>estimated</v>
      </c>
      <c r="J18" s="26" t="n">
        <v>6</v>
      </c>
      <c r="K18" s="39" t="n">
        <f aca="false">IFERROR(INDEX(Catalog!$N:$N,MATCH(A18,Catalog!$A:$A,0)),"")</f>
        <v>0.29</v>
      </c>
      <c r="L18" s="41" t="n">
        <v>0.6</v>
      </c>
      <c r="M18" s="42" t="n">
        <f aca="false">IFERROR(H18*L18,"")</f>
        <v>60</v>
      </c>
      <c r="N18" s="42" t="n">
        <f aca="false">IFERROR(($D$4-E18)/(M18/1000),"")</f>
        <v>25</v>
      </c>
      <c r="O18" s="43" t="n">
        <f aca="false" t="array" ref="O18:O18">IFERROR(INDEX($D$10:$BX$10,MATCH(MIN(ABS($D$10:$BX$10-N18)),ABS($D$10:$BX$10-N18),0)),N18)</f>
        <v>24</v>
      </c>
      <c r="P18" s="42" t="n">
        <f aca="false">IFERROR(($D$4-E18)/O18*1000,"")</f>
        <v>62.5</v>
      </c>
      <c r="Q18" s="44" t="n">
        <f aca="false">IFERROR(P18*J18,"")</f>
        <v>375</v>
      </c>
      <c r="R18" s="45" t="n">
        <f aca="false">IFERROR(P18/H18,"")</f>
        <v>0.625</v>
      </c>
      <c r="S18" s="6" t="n">
        <f aca="false">IFERROR(P18/1000*O18,"")</f>
        <v>1.5</v>
      </c>
      <c r="T18" s="42" t="n">
        <f aca="false">IFERROR(E18*P18,"")</f>
        <v>187.5</v>
      </c>
      <c r="U18" s="42" t="n">
        <f aca="false">IFERROR((P18/1000)^2*O18*1000,"")</f>
        <v>93.75</v>
      </c>
      <c r="V18" s="46" t="str">
        <f aca="false">IFERROR(IF(Q18&lt;=$D$5,"OK","OVER"),"--")</f>
        <v>OK</v>
      </c>
      <c r="W18" s="47" t="str">
        <f aca="false">TRIM(IF(I18="estimated","* Imax estimated","")&amp;IF(ISNUMBER(Q18),IF(Q18&gt;$D$5," | OVER BUDGET",""),"")&amp;IF(ISNUMBER(R18),IF(R18&gt;0.85," | &gt;85% Imax",""),"")&amp;IF(AND(ISNUMBER(G18),ISNUMBER(E18)),IF(G18-E18&gt;0.5," | Wide Vf range",""),"")&amp;IF(ISNUMBER(U18),IF(U18&gt;250," | R&gt;250mW: use 1206",""),""))</f>
        <v>* Imax estimated</v>
      </c>
    </row>
    <row r="19" customFormat="false" ht="18" hidden="false" customHeight="true" outlineLevel="0" collapsed="false">
      <c r="A19" s="26" t="n">
        <v>4</v>
      </c>
      <c r="B19" s="36" t="str">
        <f aca="false">IFERROR(INDEX(Catalog!$B:$B,MATCH(A19,Catalog!$A:$A,0)),"")</f>
        <v>Violet</v>
      </c>
      <c r="C19" s="37" t="n">
        <f aca="false">IFERROR(INDEX(Catalog!$C:$C,MATCH(A19,Catalog!$A:$A,0)),"")</f>
        <v>3</v>
      </c>
      <c r="D19" s="38" t="str">
        <f aca="false">IFERROR(INDEX(Catalog!$D:$D,MATCH(A19,Catalog!$A:$A,0)),"")</f>
        <v>455nm (450-460nm)</v>
      </c>
      <c r="E19" s="39" t="n">
        <f aca="false">IFERROR(INDEX(Catalog!$E:$E,MATCH(A19,Catalog!$A:$A,0)),"")</f>
        <v>2.96</v>
      </c>
      <c r="F19" s="39" t="n">
        <f aca="false">IFERROR(INDEX(Catalog!$F:$F,MATCH(A19,Catalog!$A:$A,0)),"")</f>
        <v>2.8</v>
      </c>
      <c r="G19" s="39" t="n">
        <f aca="false">IFERROR(INDEX(Catalog!$G:$G,MATCH(A19,Catalog!$A:$A,0)),"")</f>
        <v>3.2</v>
      </c>
      <c r="H19" s="37" t="n">
        <f aca="false">IFERROR(INDEX(Catalog!$H:$H,MATCH(A19,Catalog!$A:$A,0)),"")</f>
        <v>240</v>
      </c>
      <c r="I19" s="40" t="str">
        <f aca="false">IFERROR(INDEX(Catalog!$I:$I,MATCH(A19,Catalog!$A:$A,0)),"")</f>
        <v>datasheet</v>
      </c>
      <c r="J19" s="26" t="n">
        <v>4</v>
      </c>
      <c r="K19" s="39" t="n">
        <f aca="false">IFERROR(INDEX(Catalog!$N:$N,MATCH(A19,Catalog!$A:$A,0)),"")</f>
        <v>0.26</v>
      </c>
      <c r="L19" s="41" t="n">
        <v>0.6</v>
      </c>
      <c r="M19" s="42" t="n">
        <f aca="false">IFERROR(H19*L19,"")</f>
        <v>144</v>
      </c>
      <c r="N19" s="42" t="n">
        <f aca="false">IFERROR(($D$4-E19)/(M19/1000),"")</f>
        <v>10.6944444444444</v>
      </c>
      <c r="O19" s="43" t="n">
        <f aca="false" t="array" ref="O19:O19">IFERROR(INDEX($D$10:$BX$10,MATCH(MIN(ABS($D$10:$BX$10-N19)),ABS($D$10:$BX$10-N19),0)),N19)</f>
        <v>11</v>
      </c>
      <c r="P19" s="42" t="n">
        <f aca="false">IFERROR(($D$4-E19)/O19*1000,"")</f>
        <v>140</v>
      </c>
      <c r="Q19" s="44" t="n">
        <f aca="false">IFERROR(P19*J19,"")</f>
        <v>560</v>
      </c>
      <c r="R19" s="45" t="n">
        <f aca="false">IFERROR(P19/H19,"")</f>
        <v>0.583333333333333</v>
      </c>
      <c r="S19" s="6" t="n">
        <f aca="false">IFERROR(P19/1000*O19,"")</f>
        <v>1.54</v>
      </c>
      <c r="T19" s="42" t="n">
        <f aca="false">IFERROR(E19*P19,"")</f>
        <v>414.4</v>
      </c>
      <c r="U19" s="42" t="n">
        <f aca="false">IFERROR((P19/1000)^2*O19*1000,"")</f>
        <v>215.6</v>
      </c>
      <c r="V19" s="46" t="str">
        <f aca="false">IFERROR(IF(Q19&lt;=$D$5,"OK","OVER"),"--")</f>
        <v>OVER</v>
      </c>
      <c r="W19" s="47" t="str">
        <f aca="false">TRIM(IF(I19="estimated","* Imax estimated","")&amp;IF(ISNUMBER(Q19),IF(Q19&gt;$D$5," | OVER BUDGET",""),"")&amp;IF(ISNUMBER(R19),IF(R19&gt;0.85," | &gt;85% Imax",""),"")&amp;IF(AND(ISNUMBER(G19),ISNUMBER(E19)),IF(G19-E19&gt;0.5," | Wide Vf range",""),"")&amp;IF(ISNUMBER(U19),IF(U19&gt;250," | R&gt;250mW: use 1206",""),""))</f>
        <v>| OVER BUDGET</v>
      </c>
    </row>
    <row r="20" customFormat="false" ht="18" hidden="false" customHeight="true" outlineLevel="0" collapsed="false">
      <c r="A20" s="26" t="n">
        <v>4</v>
      </c>
      <c r="B20" s="36" t="str">
        <f aca="false">IFERROR(INDEX(Catalog!$B:$B,MATCH(A20,Catalog!$A:$A,0)),"")</f>
        <v>Violet</v>
      </c>
      <c r="C20" s="37" t="n">
        <f aca="false">IFERROR(INDEX(Catalog!$C:$C,MATCH(A20,Catalog!$A:$A,0)),"")</f>
        <v>3</v>
      </c>
      <c r="D20" s="38" t="str">
        <f aca="false">IFERROR(INDEX(Catalog!$D:$D,MATCH(A20,Catalog!$A:$A,0)),"")</f>
        <v>455nm (450-460nm)</v>
      </c>
      <c r="E20" s="39" t="n">
        <f aca="false">IFERROR(INDEX(Catalog!$E:$E,MATCH(A20,Catalog!$A:$A,0)),"")</f>
        <v>2.96</v>
      </c>
      <c r="F20" s="39" t="n">
        <f aca="false">IFERROR(INDEX(Catalog!$F:$F,MATCH(A20,Catalog!$A:$A,0)),"")</f>
        <v>2.8</v>
      </c>
      <c r="G20" s="39" t="n">
        <f aca="false">IFERROR(INDEX(Catalog!$G:$G,MATCH(A20,Catalog!$A:$A,0)),"")</f>
        <v>3.2</v>
      </c>
      <c r="H20" s="37" t="n">
        <f aca="false">IFERROR(INDEX(Catalog!$H:$H,MATCH(A20,Catalog!$A:$A,0)),"")</f>
        <v>240</v>
      </c>
      <c r="I20" s="40" t="str">
        <f aca="false">IFERROR(INDEX(Catalog!$I:$I,MATCH(A20,Catalog!$A:$A,0)),"")</f>
        <v>datasheet</v>
      </c>
      <c r="J20" s="26" t="n">
        <v>6</v>
      </c>
      <c r="K20" s="39" t="n">
        <f aca="false">IFERROR(INDEX(Catalog!$N:$N,MATCH(A20,Catalog!$A:$A,0)),"")</f>
        <v>0.26</v>
      </c>
      <c r="L20" s="41" t="n">
        <v>0.6</v>
      </c>
      <c r="M20" s="42" t="n">
        <f aca="false">IFERROR(H20*L20,"")</f>
        <v>144</v>
      </c>
      <c r="N20" s="42" t="n">
        <f aca="false">IFERROR(($D$4-E20)/(M20/1000),"")</f>
        <v>10.6944444444444</v>
      </c>
      <c r="O20" s="43" t="n">
        <f aca="false" t="array" ref="O20:O20">IFERROR(INDEX($D$10:$BX$10,MATCH(MIN(ABS($D$10:$BX$10-N20)),ABS($D$10:$BX$10-N20),0)),N20)</f>
        <v>11</v>
      </c>
      <c r="P20" s="42" t="n">
        <f aca="false">IFERROR(($D$4-E20)/O20*1000,"")</f>
        <v>140</v>
      </c>
      <c r="Q20" s="44" t="n">
        <f aca="false">IFERROR(P20*J20,"")</f>
        <v>840</v>
      </c>
      <c r="R20" s="45" t="n">
        <f aca="false">IFERROR(P20/H20,"")</f>
        <v>0.583333333333333</v>
      </c>
      <c r="S20" s="6" t="n">
        <f aca="false">IFERROR(P20/1000*O20,"")</f>
        <v>1.54</v>
      </c>
      <c r="T20" s="42" t="n">
        <f aca="false">IFERROR(E20*P20,"")</f>
        <v>414.4</v>
      </c>
      <c r="U20" s="42" t="n">
        <f aca="false">IFERROR((P20/1000)^2*O20*1000,"")</f>
        <v>215.6</v>
      </c>
      <c r="V20" s="46" t="str">
        <f aca="false">IFERROR(IF(Q20&lt;=$D$5,"OK","OVER"),"--")</f>
        <v>OVER</v>
      </c>
      <c r="W20" s="47" t="str">
        <f aca="false">TRIM(IF(I20="estimated","* Imax estimated","")&amp;IF(ISNUMBER(Q20),IF(Q20&gt;$D$5," | OVER BUDGET",""),"")&amp;IF(ISNUMBER(R20),IF(R20&gt;0.85," | &gt;85% Imax",""),"")&amp;IF(AND(ISNUMBER(G20),ISNUMBER(E20)),IF(G20-E20&gt;0.5," | Wide Vf range",""),"")&amp;IF(ISNUMBER(U20),IF(U20&gt;250," | R&gt;250mW: use 1206",""),""))</f>
        <v>| OVER BUDGET</v>
      </c>
    </row>
    <row r="21" customFormat="false" ht="18" hidden="false" customHeight="true" outlineLevel="0" collapsed="false">
      <c r="A21" s="26" t="n">
        <v>2</v>
      </c>
      <c r="B21" s="48" t="str">
        <f aca="false">IFERROR(INDEX(Catalog!$B:$B,MATCH(A21,Catalog!$A:$A,0)),"")</f>
        <v>Blue</v>
      </c>
      <c r="C21" s="49" t="n">
        <f aca="false">IFERROR(INDEX(Catalog!$C:$C,MATCH(A21,Catalog!$A:$A,0)),"")</f>
        <v>1</v>
      </c>
      <c r="D21" s="50" t="str">
        <f aca="false">IFERROR(INDEX(Catalog!$D:$D,MATCH(A21,Catalog!$A:$A,0)),"")</f>
        <v>475nm (470-480nm)</v>
      </c>
      <c r="E21" s="51" t="n">
        <f aca="false">IFERROR(INDEX(Catalog!$E:$E,MATCH(A21,Catalog!$A:$A,0)),"")</f>
        <v>2.95</v>
      </c>
      <c r="F21" s="51" t="n">
        <f aca="false">IFERROR(INDEX(Catalog!$F:$F,MATCH(A21,Catalog!$A:$A,0)),"")</f>
        <v>2.75</v>
      </c>
      <c r="G21" s="51" t="n">
        <f aca="false">IFERROR(INDEX(Catalog!$G:$G,MATCH(A21,Catalog!$A:$A,0)),"")</f>
        <v>3.2</v>
      </c>
      <c r="H21" s="49" t="n">
        <f aca="false">IFERROR(INDEX(Catalog!$H:$H,MATCH(A21,Catalog!$A:$A,0)),"")</f>
        <v>240</v>
      </c>
      <c r="I21" s="52" t="str">
        <f aca="false">IFERROR(INDEX(Catalog!$I:$I,MATCH(A21,Catalog!$A:$A,0)),"")</f>
        <v>datasheet</v>
      </c>
      <c r="J21" s="26" t="n">
        <v>4</v>
      </c>
      <c r="K21" s="51" t="n">
        <f aca="false">IFERROR(INDEX(Catalog!$N:$N,MATCH(A21,Catalog!$A:$A,0)),"")</f>
        <v>0.24</v>
      </c>
      <c r="L21" s="41" t="n">
        <v>0.6</v>
      </c>
      <c r="M21" s="53" t="n">
        <f aca="false">IFERROR(H21*L21,"")</f>
        <v>144</v>
      </c>
      <c r="N21" s="53" t="n">
        <f aca="false">IFERROR(($D$4-E21)/(M21/1000),"")</f>
        <v>10.7638888888889</v>
      </c>
      <c r="O21" s="43" t="n">
        <f aca="false" t="array" ref="O21:O21">IFERROR(INDEX($D$10:$BX$10,MATCH(MIN(ABS($D$10:$BX$10-N21)),ABS($D$10:$BX$10-N21),0)),N21)</f>
        <v>11</v>
      </c>
      <c r="P21" s="53" t="n">
        <f aca="false">IFERROR(($D$4-E21)/O21*1000,"")</f>
        <v>140.909090909091</v>
      </c>
      <c r="Q21" s="54" t="n">
        <f aca="false">IFERROR(P21*J21,"")</f>
        <v>563.636363636364</v>
      </c>
      <c r="R21" s="55" t="n">
        <f aca="false">IFERROR(P21/H21,"")</f>
        <v>0.587121212121212</v>
      </c>
      <c r="S21" s="10" t="n">
        <f aca="false">IFERROR(P21/1000*O21,"")</f>
        <v>1.55</v>
      </c>
      <c r="T21" s="53" t="n">
        <f aca="false">IFERROR(E21*P21,"")</f>
        <v>415.681818181818</v>
      </c>
      <c r="U21" s="53" t="n">
        <f aca="false">IFERROR((P21/1000)^2*O21*1000,"")</f>
        <v>218.409090909091</v>
      </c>
      <c r="V21" s="56" t="str">
        <f aca="false">IFERROR(IF(Q21&lt;=$D$5,"OK","OVER"),"--")</f>
        <v>OVER</v>
      </c>
      <c r="W21" s="57" t="str">
        <f aca="false">TRIM(IF(I21="estimated","* Imax estimated","")&amp;IF(ISNUMBER(Q21),IF(Q21&gt;$D$5," | OVER BUDGET",""),"")&amp;IF(ISNUMBER(R21),IF(R21&gt;0.85," | &gt;85% Imax",""),"")&amp;IF(AND(ISNUMBER(G21),ISNUMBER(E21)),IF(G21-E21&gt;0.5," | Wide Vf range",""),"")&amp;IF(ISNUMBER(U21),IF(U21&gt;250," | R&gt;250mW: use 1206",""),""))</f>
        <v>| OVER BUDGET</v>
      </c>
    </row>
    <row r="22" customFormat="false" ht="18" hidden="false" customHeight="true" outlineLevel="0" collapsed="false">
      <c r="A22" s="26" t="n">
        <v>1014</v>
      </c>
      <c r="B22" s="48" t="str">
        <f aca="false">IFERROR(INDEX(Catalog!$B:$B,MATCH(A22,Catalog!$A:$A,0)),"")</f>
        <v>Blue</v>
      </c>
      <c r="C22" s="49" t="n">
        <f aca="false">IFERROR(INDEX(Catalog!$C:$C,MATCH(A22,Catalog!$A:$A,0)),"")</f>
        <v>2</v>
      </c>
      <c r="D22" s="50" t="str">
        <f aca="false">IFERROR(INDEX(Catalog!$D:$D,MATCH(A22,Catalog!$A:$A,0)),"")</f>
        <v>455nm dom</v>
      </c>
      <c r="E22" s="51" t="n">
        <f aca="false">IFERROR(INDEX(Catalog!$E:$E,MATCH(A22,Catalog!$A:$A,0)),"")</f>
        <v>3.2</v>
      </c>
      <c r="F22" s="51" t="n">
        <f aca="false">IFERROR(INDEX(Catalog!$F:$F,MATCH(A22,Catalog!$A:$A,0)),"")</f>
        <v>3</v>
      </c>
      <c r="G22" s="51" t="n">
        <f aca="false">IFERROR(INDEX(Catalog!$G:$G,MATCH(A22,Catalog!$A:$A,0)),"")</f>
        <v>3.5</v>
      </c>
      <c r="H22" s="49" t="n">
        <f aca="false">IFERROR(INDEX(Catalog!$H:$H,MATCH(A22,Catalog!$A:$A,0)),"")</f>
        <v>200</v>
      </c>
      <c r="I22" s="52" t="str">
        <f aca="false">IFERROR(INDEX(Catalog!$I:$I,MATCH(A22,Catalog!$A:$A,0)),"")</f>
        <v>estimated</v>
      </c>
      <c r="J22" s="26" t="n">
        <v>4</v>
      </c>
      <c r="K22" s="51" t="n">
        <f aca="false">IFERROR(INDEX(Catalog!$N:$N,MATCH(A22,Catalog!$A:$A,0)),"")</f>
        <v>0.4</v>
      </c>
      <c r="L22" s="41" t="n">
        <v>0.6</v>
      </c>
      <c r="M22" s="53" t="n">
        <f aca="false">IFERROR(H22*L22,"")</f>
        <v>120</v>
      </c>
      <c r="N22" s="53" t="n">
        <f aca="false">IFERROR(($D$4-E22)/(M22/1000),"")</f>
        <v>10.8333333333333</v>
      </c>
      <c r="O22" s="43" t="n">
        <f aca="false" t="array" ref="O22:O22">IFERROR(INDEX($D$10:$BX$10,MATCH(MIN(ABS($D$10:$BX$10-N22)),ABS($D$10:$BX$10-N22),0)),N22)</f>
        <v>11</v>
      </c>
      <c r="P22" s="53" t="n">
        <f aca="false">IFERROR(($D$4-E22)/O22*1000,"")</f>
        <v>118.181818181818</v>
      </c>
      <c r="Q22" s="54" t="n">
        <f aca="false">IFERROR(P22*J22,"")</f>
        <v>472.727272727273</v>
      </c>
      <c r="R22" s="55" t="n">
        <f aca="false">IFERROR(P22/H22,"")</f>
        <v>0.590909090909091</v>
      </c>
      <c r="S22" s="10" t="n">
        <f aca="false">IFERROR(P22/1000*O22,"")</f>
        <v>1.3</v>
      </c>
      <c r="T22" s="53" t="n">
        <f aca="false">IFERROR(E22*P22,"")</f>
        <v>378.181818181818</v>
      </c>
      <c r="U22" s="53" t="n">
        <f aca="false">IFERROR((P22/1000)^2*O22*1000,"")</f>
        <v>153.636363636364</v>
      </c>
      <c r="V22" s="56" t="str">
        <f aca="false">IFERROR(IF(Q22&lt;=$D$5,"OK","OVER"),"--")</f>
        <v>OK</v>
      </c>
      <c r="W22" s="57" t="str">
        <f aca="false">TRIM(IF(I22="estimated","* Imax estimated","")&amp;IF(ISNUMBER(Q22),IF(Q22&gt;$D$5," | OVER BUDGET",""),"")&amp;IF(ISNUMBER(R22),IF(R22&gt;0.85," | &gt;85% Imax",""),"")&amp;IF(AND(ISNUMBER(G22),ISNUMBER(E22)),IF(G22-E22&gt;0.5," | Wide Vf range",""),"")&amp;IF(ISNUMBER(U22),IF(U22&gt;250," | R&gt;250mW: use 1206",""),""))</f>
        <v>* Imax estimated</v>
      </c>
    </row>
    <row r="23" customFormat="false" ht="18" hidden="false" customHeight="true" outlineLevel="0" collapsed="false">
      <c r="A23" s="26" t="n">
        <v>102</v>
      </c>
      <c r="B23" s="48" t="str">
        <f aca="false">IFERROR(INDEX(Catalog!$B:$B,MATCH(A23,Catalog!$A:$A,0)),"")</f>
        <v>Blue</v>
      </c>
      <c r="C23" s="49" t="n">
        <f aca="false">IFERROR(INDEX(Catalog!$C:$C,MATCH(A23,Catalog!$A:$A,0)),"")</f>
        <v>3</v>
      </c>
      <c r="D23" s="50" t="str">
        <f aca="false">IFERROR(INDEX(Catalog!$D:$D,MATCH(A23,Catalog!$A:$A,0)),"")</f>
        <v>465nm (460-470nm)</v>
      </c>
      <c r="E23" s="51" t="n">
        <f aca="false">IFERROR(INDEX(Catalog!$E:$E,MATCH(A23,Catalog!$A:$A,0)),"")</f>
        <v>3.2</v>
      </c>
      <c r="F23" s="51" t="n">
        <f aca="false">IFERROR(INDEX(Catalog!$F:$F,MATCH(A23,Catalog!$A:$A,0)),"")</f>
        <v>3</v>
      </c>
      <c r="G23" s="51" t="n">
        <f aca="false">IFERROR(INDEX(Catalog!$G:$G,MATCH(A23,Catalog!$A:$A,0)),"")</f>
        <v>3.5</v>
      </c>
      <c r="H23" s="49" t="n">
        <f aca="false">IFERROR(INDEX(Catalog!$H:$H,MATCH(A23,Catalog!$A:$A,0)),"")</f>
        <v>200</v>
      </c>
      <c r="I23" s="52" t="str">
        <f aca="false">IFERROR(INDEX(Catalog!$I:$I,MATCH(A23,Catalog!$A:$A,0)),"")</f>
        <v>datasheet</v>
      </c>
      <c r="J23" s="26" t="n">
        <v>4</v>
      </c>
      <c r="K23" s="51" t="n">
        <f aca="false">IFERROR(INDEX(Catalog!$N:$N,MATCH(A23,Catalog!$A:$A,0)),"")</f>
        <v>0.32</v>
      </c>
      <c r="L23" s="41" t="n">
        <v>0.6</v>
      </c>
      <c r="M23" s="53" t="n">
        <f aca="false">IFERROR(H23*L23,"")</f>
        <v>120</v>
      </c>
      <c r="N23" s="53" t="n">
        <f aca="false">IFERROR(($D$4-E23)/(M23/1000),"")</f>
        <v>10.8333333333333</v>
      </c>
      <c r="O23" s="43" t="n">
        <f aca="false" t="array" ref="O23:O23">IFERROR(INDEX($D$10:$BX$10,MATCH(MIN(ABS($D$10:$BX$10-N23)),ABS($D$10:$BX$10-N23),0)),N23)</f>
        <v>11</v>
      </c>
      <c r="P23" s="53" t="n">
        <f aca="false">IFERROR(($D$4-E23)/O23*1000,"")</f>
        <v>118.181818181818</v>
      </c>
      <c r="Q23" s="54" t="n">
        <f aca="false">IFERROR(P23*J23,"")</f>
        <v>472.727272727273</v>
      </c>
      <c r="R23" s="55" t="n">
        <f aca="false">IFERROR(P23/H23,"")</f>
        <v>0.590909090909091</v>
      </c>
      <c r="S23" s="10" t="n">
        <f aca="false">IFERROR(P23/1000*O23,"")</f>
        <v>1.3</v>
      </c>
      <c r="T23" s="53" t="n">
        <f aca="false">IFERROR(E23*P23,"")</f>
        <v>378.181818181818</v>
      </c>
      <c r="U23" s="53" t="n">
        <f aca="false">IFERROR((P23/1000)^2*O23*1000,"")</f>
        <v>153.636363636364</v>
      </c>
      <c r="V23" s="56" t="str">
        <f aca="false">IFERROR(IF(Q23&lt;=$D$5,"OK","OVER"),"--")</f>
        <v>OK</v>
      </c>
      <c r="W23" s="57" t="str">
        <f aca="false">TRIM(IF(I23="estimated","* Imax estimated","")&amp;IF(ISNUMBER(Q23),IF(Q23&gt;$D$5," | OVER BUDGET",""),"")&amp;IF(ISNUMBER(R23),IF(R23&gt;0.85," | &gt;85% Imax",""),"")&amp;IF(AND(ISNUMBER(G23),ISNUMBER(E23)),IF(G23-E23&gt;0.5," | Wide Vf range",""),"")&amp;IF(ISNUMBER(U23),IF(U23&gt;250," | R&gt;250mW: use 1206",""),""))</f>
        <v/>
      </c>
    </row>
    <row r="24" customFormat="false" ht="18" hidden="false" customHeight="true" outlineLevel="0" collapsed="false">
      <c r="A24" s="26" t="n">
        <v>1</v>
      </c>
      <c r="B24" s="58" t="str">
        <f aca="false">IFERROR(INDEX(Catalog!$B:$B,MATCH(A24,Catalog!$A:$A,0)),"")</f>
        <v>Green</v>
      </c>
      <c r="C24" s="59" t="n">
        <f aca="false">IFERROR(INDEX(Catalog!$C:$C,MATCH(A24,Catalog!$A:$A,0)),"")</f>
        <v>1</v>
      </c>
      <c r="D24" s="60" t="str">
        <f aca="false">IFERROR(INDEX(Catalog!$D:$D,MATCH(A24,Catalog!$A:$A,0)),"")</f>
        <v>525nm (520-530nm)</v>
      </c>
      <c r="E24" s="61" t="n">
        <f aca="false">IFERROR(INDEX(Catalog!$E:$E,MATCH(A24,Catalog!$A:$A,0)),"")</f>
        <v>2.8</v>
      </c>
      <c r="F24" s="61" t="n">
        <f aca="false">IFERROR(INDEX(Catalog!$F:$F,MATCH(A24,Catalog!$A:$A,0)),"")</f>
        <v>2.6</v>
      </c>
      <c r="G24" s="61" t="n">
        <f aca="false">IFERROR(INDEX(Catalog!$G:$G,MATCH(A24,Catalog!$A:$A,0)),"")</f>
        <v>3.2</v>
      </c>
      <c r="H24" s="59" t="n">
        <f aca="false">IFERROR(INDEX(Catalog!$H:$H,MATCH(A24,Catalog!$A:$A,0)),"")</f>
        <v>240</v>
      </c>
      <c r="I24" s="62" t="str">
        <f aca="false">IFERROR(INDEX(Catalog!$I:$I,MATCH(A24,Catalog!$A:$A,0)),"")</f>
        <v>datasheet</v>
      </c>
      <c r="J24" s="26" t="n">
        <v>4</v>
      </c>
      <c r="K24" s="61" t="n">
        <f aca="false">IFERROR(INDEX(Catalog!$N:$N,MATCH(A24,Catalog!$A:$A,0)),"")</f>
        <v>0.23</v>
      </c>
      <c r="L24" s="41" t="n">
        <v>0.6</v>
      </c>
      <c r="M24" s="63" t="n">
        <f aca="false">IFERROR(H24*L24,"")</f>
        <v>144</v>
      </c>
      <c r="N24" s="63" t="n">
        <f aca="false">IFERROR(($D$4-E24)/(M24/1000),"")</f>
        <v>11.8055555555556</v>
      </c>
      <c r="O24" s="43" t="n">
        <f aca="false" t="array" ref="O24:O24">IFERROR(INDEX($D$10:$BX$10,MATCH(MIN(ABS($D$10:$BX$10-N24)),ABS($D$10:$BX$10-N24),0)),N24)</f>
        <v>12</v>
      </c>
      <c r="P24" s="63" t="n">
        <f aca="false">IFERROR(($D$4-E24)/O24*1000,"")</f>
        <v>141.666666666667</v>
      </c>
      <c r="Q24" s="64" t="n">
        <f aca="false">IFERROR(P24*J24,"")</f>
        <v>566.666666666667</v>
      </c>
      <c r="R24" s="65" t="n">
        <f aca="false">IFERROR(P24/H24,"")</f>
        <v>0.590277777777778</v>
      </c>
      <c r="S24" s="14" t="n">
        <f aca="false">IFERROR(P24/1000*O24,"")</f>
        <v>1.7</v>
      </c>
      <c r="T24" s="63" t="n">
        <f aca="false">IFERROR(E24*P24,"")</f>
        <v>396.666666666667</v>
      </c>
      <c r="U24" s="63" t="n">
        <f aca="false">IFERROR((P24/1000)^2*O24*1000,"")</f>
        <v>240.833333333333</v>
      </c>
      <c r="V24" s="66" t="str">
        <f aca="false">IFERROR(IF(Q24&lt;=$D$5,"OK","OVER"),"--")</f>
        <v>OVER</v>
      </c>
      <c r="W24" s="67" t="str">
        <f aca="false">TRIM(IF(I24="estimated","* Imax estimated","")&amp;IF(ISNUMBER(Q24),IF(Q24&gt;$D$5," | OVER BUDGET",""),"")&amp;IF(ISNUMBER(R24),IF(R24&gt;0.85," | &gt;85% Imax",""),"")&amp;IF(AND(ISNUMBER(G24),ISNUMBER(E24)),IF(G24-E24&gt;0.5," | Wide Vf range",""),"")&amp;IF(ISNUMBER(U24),IF(U24&gt;250," | R&gt;250mW: use 1206",""),""))</f>
        <v>| OVER BUDGET</v>
      </c>
    </row>
    <row r="25" customFormat="false" ht="18" hidden="false" customHeight="true" outlineLevel="0" collapsed="false">
      <c r="A25" s="26" t="n">
        <v>532</v>
      </c>
      <c r="B25" s="58" t="str">
        <f aca="false">IFERROR(INDEX(Catalog!$B:$B,MATCH(A25,Catalog!$A:$A,0)),"")</f>
        <v>Green</v>
      </c>
      <c r="C25" s="59" t="n">
        <f aca="false">IFERROR(INDEX(Catalog!$C:$C,MATCH(A25,Catalog!$A:$A,0)),"")</f>
        <v>2</v>
      </c>
      <c r="D25" s="60" t="str">
        <f aca="false">IFERROR(INDEX(Catalog!$D:$D,MATCH(A25,Catalog!$A:$A,0)),"")</f>
        <v>525nm dom/515nm peak</v>
      </c>
      <c r="E25" s="61" t="n">
        <f aca="false">IFERROR(INDEX(Catalog!$E:$E,MATCH(A25,Catalog!$A:$A,0)),"")</f>
        <v>3.1</v>
      </c>
      <c r="F25" s="61" t="n">
        <f aca="false">IFERROR(INDEX(Catalog!$F:$F,MATCH(A25,Catalog!$A:$A,0)),"")</f>
        <v>2.9</v>
      </c>
      <c r="G25" s="61" t="n">
        <f aca="false">IFERROR(INDEX(Catalog!$G:$G,MATCH(A25,Catalog!$A:$A,0)),"")</f>
        <v>3.5</v>
      </c>
      <c r="H25" s="59" t="n">
        <f aca="false">IFERROR(INDEX(Catalog!$H:$H,MATCH(A25,Catalog!$A:$A,0)),"")</f>
        <v>30</v>
      </c>
      <c r="I25" s="62" t="str">
        <f aca="false">IFERROR(INDEX(Catalog!$I:$I,MATCH(A25,Catalog!$A:$A,0)),"")</f>
        <v>estimated</v>
      </c>
      <c r="J25" s="26" t="n">
        <v>4</v>
      </c>
      <c r="K25" s="61" t="n">
        <f aca="false">IFERROR(INDEX(Catalog!$N:$N,MATCH(A25,Catalog!$A:$A,0)),"")</f>
        <v>0.19</v>
      </c>
      <c r="L25" s="41" t="n">
        <v>0.6</v>
      </c>
      <c r="M25" s="63" t="n">
        <f aca="false">IFERROR(H25*L25,"")</f>
        <v>18</v>
      </c>
      <c r="N25" s="63" t="n">
        <f aca="false">IFERROR(($D$4-E25)/(M25/1000),"")</f>
        <v>77.7777777777778</v>
      </c>
      <c r="O25" s="43" t="n">
        <f aca="false" t="array" ref="O25:O25">IFERROR(INDEX($D$10:$BX$10,MATCH(MIN(ABS($D$10:$BX$10-N25)),ABS($D$10:$BX$10-N25),0)),N25)</f>
        <v>75</v>
      </c>
      <c r="P25" s="63" t="n">
        <f aca="false">IFERROR(($D$4-E25)/O25*1000,"")</f>
        <v>18.6666666666667</v>
      </c>
      <c r="Q25" s="64" t="n">
        <f aca="false">IFERROR(P25*J25,"")</f>
        <v>74.6666666666667</v>
      </c>
      <c r="R25" s="65" t="n">
        <f aca="false">IFERROR(P25/H25,"")</f>
        <v>0.622222222222222</v>
      </c>
      <c r="S25" s="14" t="n">
        <f aca="false">IFERROR(P25/1000*O25,"")</f>
        <v>1.4</v>
      </c>
      <c r="T25" s="63" t="n">
        <f aca="false">IFERROR(E25*P25,"")</f>
        <v>57.8666666666667</v>
      </c>
      <c r="U25" s="63" t="n">
        <f aca="false">IFERROR((P25/1000)^2*O25*1000,"")</f>
        <v>26.1333333333333</v>
      </c>
      <c r="V25" s="66" t="str">
        <f aca="false">IFERROR(IF(Q25&lt;=$D$5,"OK","OVER"),"--")</f>
        <v>OK</v>
      </c>
      <c r="W25" s="67" t="str">
        <f aca="false">TRIM(IF(I25="estimated","* Imax estimated","")&amp;IF(ISNUMBER(Q25),IF(Q25&gt;$D$5," | OVER BUDGET",""),"")&amp;IF(ISNUMBER(R25),IF(R25&gt;0.85," | &gt;85% Imax",""),"")&amp;IF(AND(ISNUMBER(G25),ISNUMBER(E25)),IF(G25-E25&gt;0.5," | Wide Vf range",""),"")&amp;IF(ISNUMBER(U25),IF(U25&gt;250," | R&gt;250mW: use 1206",""),""))</f>
        <v>* Imax estimated</v>
      </c>
    </row>
    <row r="26" customFormat="false" ht="18" hidden="false" customHeight="true" outlineLevel="0" collapsed="false">
      <c r="A26" s="26" t="n">
        <v>783</v>
      </c>
      <c r="B26" s="58" t="str">
        <f aca="false">IFERROR(INDEX(Catalog!$B:$B,MATCH(A26,Catalog!$A:$A,0)),"")</f>
        <v>Green</v>
      </c>
      <c r="C26" s="59" t="n">
        <f aca="false">IFERROR(INDEX(Catalog!$C:$C,MATCH(A26,Catalog!$A:$A,0)),"")</f>
        <v>3</v>
      </c>
      <c r="D26" s="60" t="str">
        <f aca="false">IFERROR(INDEX(Catalog!$D:$D,MATCH(A26,Catalog!$A:$A,0)),"")</f>
        <v>525nm dom/520nm peak</v>
      </c>
      <c r="E26" s="61" t="n">
        <f aca="false">IFERROR(INDEX(Catalog!$E:$E,MATCH(A26,Catalog!$A:$A,0)),"")</f>
        <v>3.4</v>
      </c>
      <c r="F26" s="61" t="n">
        <f aca="false">IFERROR(INDEX(Catalog!$F:$F,MATCH(A26,Catalog!$A:$A,0)),"")</f>
        <v>3.2</v>
      </c>
      <c r="G26" s="61" t="n">
        <f aca="false">IFERROR(INDEX(Catalog!$G:$G,MATCH(A26,Catalog!$A:$A,0)),"")</f>
        <v>3.8</v>
      </c>
      <c r="H26" s="59" t="n">
        <f aca="false">IFERROR(INDEX(Catalog!$H:$H,MATCH(A26,Catalog!$A:$A,0)),"")</f>
        <v>200</v>
      </c>
      <c r="I26" s="62" t="str">
        <f aca="false">IFERROR(INDEX(Catalog!$I:$I,MATCH(A26,Catalog!$A:$A,0)),"")</f>
        <v>estimated</v>
      </c>
      <c r="J26" s="26" t="n">
        <v>4</v>
      </c>
      <c r="K26" s="61" t="n">
        <f aca="false">IFERROR(INDEX(Catalog!$N:$N,MATCH(A26,Catalog!$A:$A,0)),"")</f>
        <v>0.36</v>
      </c>
      <c r="L26" s="41" t="n">
        <v>0.6</v>
      </c>
      <c r="M26" s="63" t="n">
        <f aca="false">IFERROR(H26*L26,"")</f>
        <v>120</v>
      </c>
      <c r="N26" s="63" t="n">
        <f aca="false">IFERROR(($D$4-E26)/(M26/1000),"")</f>
        <v>9.16666666666667</v>
      </c>
      <c r="O26" s="43" t="n">
        <f aca="false" t="array" ref="O26:O26">IFERROR(INDEX($D$10:$BX$10,MATCH(MIN(ABS($D$10:$BX$10-N26)),ABS($D$10:$BX$10-N26),0)),N26)</f>
        <v>9.1</v>
      </c>
      <c r="P26" s="63" t="n">
        <f aca="false">IFERROR(($D$4-E26)/O26*1000,"")</f>
        <v>120.879120879121</v>
      </c>
      <c r="Q26" s="64" t="n">
        <f aca="false">IFERROR(P26*J26,"")</f>
        <v>483.516483516484</v>
      </c>
      <c r="R26" s="65" t="n">
        <f aca="false">IFERROR(P26/H26,"")</f>
        <v>0.604395604395605</v>
      </c>
      <c r="S26" s="14" t="n">
        <f aca="false">IFERROR(P26/1000*O26,"")</f>
        <v>1.1</v>
      </c>
      <c r="T26" s="63" t="n">
        <f aca="false">IFERROR(E26*P26,"")</f>
        <v>410.989010989011</v>
      </c>
      <c r="U26" s="63" t="n">
        <f aca="false">IFERROR((P26/1000)^2*O26*1000,"")</f>
        <v>132.967032967033</v>
      </c>
      <c r="V26" s="66" t="str">
        <f aca="false">IFERROR(IF(Q26&lt;=$D$5,"OK","OVER"),"--")</f>
        <v>OK</v>
      </c>
      <c r="W26" s="67" t="str">
        <f aca="false">TRIM(IF(I26="estimated","* Imax estimated","")&amp;IF(ISNUMBER(Q26),IF(Q26&gt;$D$5," | OVER BUDGET",""),"")&amp;IF(ISNUMBER(R26),IF(R26&gt;0.85," | &gt;85% Imax",""),"")&amp;IF(AND(ISNUMBER(G26),ISNUMBER(E26)),IF(G26-E26&gt;0.5," | Wide Vf range",""),"")&amp;IF(ISNUMBER(U26),IF(U26&gt;250," | R&gt;250mW: use 1206",""),""))</f>
        <v>* Imax estimated</v>
      </c>
    </row>
    <row r="27" customFormat="false" ht="18" hidden="false" customHeight="true" outlineLevel="0" collapsed="false">
      <c r="A27" s="26" t="n">
        <v>3</v>
      </c>
      <c r="B27" s="68" t="str">
        <f aca="false">IFERROR(INDEX(Catalog!$B:$B,MATCH(A27,Catalog!$A:$A,0)),"")</f>
        <v>Red</v>
      </c>
      <c r="C27" s="69" t="n">
        <f aca="false">IFERROR(INDEX(Catalog!$C:$C,MATCH(A27,Catalog!$A:$A,0)),"")</f>
        <v>1</v>
      </c>
      <c r="D27" s="70" t="str">
        <f aca="false">IFERROR(INDEX(Catalog!$D:$D,MATCH(A27,Catalog!$A:$A,0)),"")</f>
        <v>625nm (620-630nm)</v>
      </c>
      <c r="E27" s="71" t="n">
        <f aca="false">IFERROR(INDEX(Catalog!$E:$E,MATCH(A27,Catalog!$A:$A,0)),"")</f>
        <v>2.2</v>
      </c>
      <c r="F27" s="71" t="n">
        <f aca="false">IFERROR(INDEX(Catalog!$F:$F,MATCH(A27,Catalog!$A:$A,0)),"")</f>
        <v>2</v>
      </c>
      <c r="G27" s="71" t="n">
        <f aca="false">IFERROR(INDEX(Catalog!$G:$G,MATCH(A27,Catalog!$A:$A,0)),"")</f>
        <v>2.6</v>
      </c>
      <c r="H27" s="69" t="n">
        <f aca="false">IFERROR(INDEX(Catalog!$H:$H,MATCH(A27,Catalog!$A:$A,0)),"")</f>
        <v>250</v>
      </c>
      <c r="I27" s="72" t="str">
        <f aca="false">IFERROR(INDEX(Catalog!$I:$I,MATCH(A27,Catalog!$A:$A,0)),"")</f>
        <v>datasheet</v>
      </c>
      <c r="J27" s="26" t="n">
        <v>4</v>
      </c>
      <c r="K27" s="71" t="n">
        <f aca="false">IFERROR(INDEX(Catalog!$N:$N,MATCH(A27,Catalog!$A:$A,0)),"")</f>
        <v>0.26</v>
      </c>
      <c r="L27" s="41" t="n">
        <v>0.6</v>
      </c>
      <c r="M27" s="73" t="n">
        <f aca="false">IFERROR(H27*L27,"")</f>
        <v>150</v>
      </c>
      <c r="N27" s="73" t="n">
        <f aca="false">IFERROR(($D$4-E27)/(M27/1000),"")</f>
        <v>15.3333333333333</v>
      </c>
      <c r="O27" s="43" t="n">
        <f aca="false" t="array" ref="O27:O27">IFERROR(INDEX($D$10:$BX$10,MATCH(MIN(ABS($D$10:$BX$10-N27)),ABS($D$10:$BX$10-N27),0)),N27)</f>
        <v>15</v>
      </c>
      <c r="P27" s="73" t="n">
        <f aca="false">IFERROR(($D$4-E27)/O27*1000,"")</f>
        <v>153.333333333333</v>
      </c>
      <c r="Q27" s="74" t="n">
        <f aca="false">IFERROR(P27*J27,"")</f>
        <v>613.333333333333</v>
      </c>
      <c r="R27" s="75" t="n">
        <f aca="false">IFERROR(P27/H27,"")</f>
        <v>0.613333333333333</v>
      </c>
      <c r="S27" s="18" t="n">
        <f aca="false">IFERROR(P27/1000*O27,"")</f>
        <v>2.3</v>
      </c>
      <c r="T27" s="73" t="n">
        <f aca="false">IFERROR(E27*P27,"")</f>
        <v>337.333333333333</v>
      </c>
      <c r="U27" s="73" t="n">
        <f aca="false">IFERROR((P27/1000)^2*O27*1000,"")</f>
        <v>352.666666666667</v>
      </c>
      <c r="V27" s="76" t="str">
        <f aca="false">IFERROR(IF(Q27&lt;=$D$5,"OK","OVER"),"--")</f>
        <v>OVER</v>
      </c>
      <c r="W27" s="77" t="str">
        <f aca="false">TRIM(IF(I27="estimated","* Imax estimated","")&amp;IF(ISNUMBER(Q27),IF(Q27&gt;$D$5," | OVER BUDGET",""),"")&amp;IF(ISNUMBER(R27),IF(R27&gt;0.85," | &gt;85% Imax",""),"")&amp;IF(AND(ISNUMBER(G27),ISNUMBER(E27)),IF(G27-E27&gt;0.5," | Wide Vf range",""),"")&amp;IF(ISNUMBER(U27),IF(U27&gt;250," | R&gt;250mW: use 1206",""),""))</f>
        <v>| OVER BUDGET | R&gt;250mW: use 1206</v>
      </c>
    </row>
    <row r="28" customFormat="false" ht="18" hidden="false" customHeight="true" outlineLevel="0" collapsed="false">
      <c r="A28" s="26" t="n">
        <v>727</v>
      </c>
      <c r="B28" s="68" t="str">
        <f aca="false">IFERROR(INDEX(Catalog!$B:$B,MATCH(A28,Catalog!$A:$A,0)),"")</f>
        <v>Red</v>
      </c>
      <c r="C28" s="69" t="n">
        <f aca="false">IFERROR(INDEX(Catalog!$C:$C,MATCH(A28,Catalog!$A:$A,0)),"")</f>
        <v>2</v>
      </c>
      <c r="D28" s="70" t="str">
        <f aca="false">IFERROR(INDEX(Catalog!$D:$D,MATCH(A28,Catalog!$A:$A,0)),"")</f>
        <v>624nm dom/632nm peak</v>
      </c>
      <c r="E28" s="71" t="n">
        <f aca="false">IFERROR(INDEX(Catalog!$E:$E,MATCH(A28,Catalog!$A:$A,0)),"")</f>
        <v>2</v>
      </c>
      <c r="F28" s="71" t="n">
        <f aca="false">IFERROR(INDEX(Catalog!$F:$F,MATCH(A28,Catalog!$A:$A,0)),"")</f>
        <v>1.8</v>
      </c>
      <c r="G28" s="71" t="n">
        <f aca="false">IFERROR(INDEX(Catalog!$G:$G,MATCH(A28,Catalog!$A:$A,0)),"")</f>
        <v>2.4</v>
      </c>
      <c r="H28" s="69" t="n">
        <f aca="false">IFERROR(INDEX(Catalog!$H:$H,MATCH(A28,Catalog!$A:$A,0)),"")</f>
        <v>200</v>
      </c>
      <c r="I28" s="72" t="str">
        <f aca="false">IFERROR(INDEX(Catalog!$I:$I,MATCH(A28,Catalog!$A:$A,0)),"")</f>
        <v>estimated</v>
      </c>
      <c r="J28" s="26" t="n">
        <v>4</v>
      </c>
      <c r="K28" s="71" t="n">
        <f aca="false">IFERROR(INDEX(Catalog!$N:$N,MATCH(A28,Catalog!$A:$A,0)),"")</f>
        <v>0.33</v>
      </c>
      <c r="L28" s="41" t="n">
        <v>0.6</v>
      </c>
      <c r="M28" s="73" t="n">
        <f aca="false">IFERROR(H28*L28,"")</f>
        <v>120</v>
      </c>
      <c r="N28" s="73" t="n">
        <f aca="false">IFERROR(($D$4-E28)/(M28/1000),"")</f>
        <v>20.8333333333333</v>
      </c>
      <c r="O28" s="43" t="n">
        <f aca="false" t="array" ref="O28:O28">IFERROR(INDEX($D$10:$BX$10,MATCH(MIN(ABS($D$10:$BX$10-N28)),ABS($D$10:$BX$10-N28),0)),N28)</f>
        <v>20</v>
      </c>
      <c r="P28" s="73" t="n">
        <f aca="false">IFERROR(($D$4-E28)/O28*1000,"")</f>
        <v>125</v>
      </c>
      <c r="Q28" s="74" t="n">
        <f aca="false">IFERROR(P28*J28,"")</f>
        <v>500</v>
      </c>
      <c r="R28" s="75" t="n">
        <f aca="false">IFERROR(P28/H28,"")</f>
        <v>0.625</v>
      </c>
      <c r="S28" s="18" t="n">
        <f aca="false">IFERROR(P28/1000*O28,"")</f>
        <v>2.5</v>
      </c>
      <c r="T28" s="73" t="n">
        <f aca="false">IFERROR(E28*P28,"")</f>
        <v>250</v>
      </c>
      <c r="U28" s="73" t="n">
        <f aca="false">IFERROR((P28/1000)^2*O28*1000,"")</f>
        <v>312.5</v>
      </c>
      <c r="V28" s="76" t="str">
        <f aca="false">IFERROR(IF(Q28&lt;=$D$5,"OK","OVER"),"--")</f>
        <v>OK</v>
      </c>
      <c r="W28" s="77" t="str">
        <f aca="false">TRIM(IF(I28="estimated","* Imax estimated","")&amp;IF(ISNUMBER(Q28),IF(Q28&gt;$D$5," | OVER BUDGET",""),"")&amp;IF(ISNUMBER(R28),IF(R28&gt;0.85," | &gt;85% Imax",""),"")&amp;IF(AND(ISNUMBER(G28),ISNUMBER(E28)),IF(G28-E28&gt;0.5," | Wide Vf range",""),"")&amp;IF(ISNUMBER(U28),IF(U28&gt;250," | R&gt;250mW: use 1206",""),""))</f>
        <v>* Imax estimated | R&gt;250mW: use 1206</v>
      </c>
    </row>
    <row r="29" customFormat="false" ht="18" hidden="false" customHeight="true" outlineLevel="0" collapsed="false">
      <c r="A29" s="26" t="n">
        <v>6</v>
      </c>
      <c r="B29" s="68" t="str">
        <f aca="false">IFERROR(INDEX(Catalog!$B:$B,MATCH(A29,Catalog!$A:$A,0)),"")</f>
        <v>Red</v>
      </c>
      <c r="C29" s="69" t="n">
        <f aca="false">IFERROR(INDEX(Catalog!$C:$C,MATCH(A29,Catalog!$A:$A,0)),"")</f>
        <v>3</v>
      </c>
      <c r="D29" s="70" t="str">
        <f aca="false">IFERROR(INDEX(Catalog!$D:$D,MATCH(A29,Catalog!$A:$A,0)),"")</f>
        <v>620nm (typ)</v>
      </c>
      <c r="E29" s="71" t="n">
        <f aca="false">IFERROR(INDEX(Catalog!$E:$E,MATCH(A29,Catalog!$A:$A,0)),"")</f>
        <v>2.2</v>
      </c>
      <c r="F29" s="71" t="n">
        <f aca="false">IFERROR(INDEX(Catalog!$F:$F,MATCH(A29,Catalog!$A:$A,0)),"")</f>
        <v>2</v>
      </c>
      <c r="G29" s="71" t="n">
        <f aca="false">IFERROR(INDEX(Catalog!$G:$G,MATCH(A29,Catalog!$A:$A,0)),"")</f>
        <v>2.6</v>
      </c>
      <c r="H29" s="69" t="n">
        <f aca="false">IFERROR(INDEX(Catalog!$H:$H,MATCH(A29,Catalog!$A:$A,0)),"")</f>
        <v>200</v>
      </c>
      <c r="I29" s="72" t="str">
        <f aca="false">IFERROR(INDEX(Catalog!$I:$I,MATCH(A29,Catalog!$A:$A,0)),"")</f>
        <v>datasheet</v>
      </c>
      <c r="J29" s="26" t="n">
        <v>4</v>
      </c>
      <c r="K29" s="71" t="n">
        <f aca="false">IFERROR(INDEX(Catalog!$N:$N,MATCH(A29,Catalog!$A:$A,0)),"")</f>
        <v>0.32</v>
      </c>
      <c r="L29" s="41" t="n">
        <v>0.6</v>
      </c>
      <c r="M29" s="73" t="n">
        <f aca="false">IFERROR(H29*L29,"")</f>
        <v>120</v>
      </c>
      <c r="N29" s="73" t="n">
        <f aca="false">IFERROR(($D$4-E29)/(M29/1000),"")</f>
        <v>19.1666666666667</v>
      </c>
      <c r="O29" s="43" t="n">
        <f aca="false" t="array" ref="O29:O29">IFERROR(INDEX($D$10:$BX$10,MATCH(MIN(ABS($D$10:$BX$10-N29)),ABS($D$10:$BX$10-N29),0)),N29)</f>
        <v>20</v>
      </c>
      <c r="P29" s="73" t="n">
        <f aca="false">IFERROR(($D$4-E29)/O29*1000,"")</f>
        <v>115</v>
      </c>
      <c r="Q29" s="74" t="n">
        <f aca="false">IFERROR(P29*J29,"")</f>
        <v>460</v>
      </c>
      <c r="R29" s="75" t="n">
        <f aca="false">IFERROR(P29/H29,"")</f>
        <v>0.575</v>
      </c>
      <c r="S29" s="18" t="n">
        <f aca="false">IFERROR(P29/1000*O29,"")</f>
        <v>2.3</v>
      </c>
      <c r="T29" s="73" t="n">
        <f aca="false">IFERROR(E29*P29,"")</f>
        <v>253</v>
      </c>
      <c r="U29" s="73" t="n">
        <f aca="false">IFERROR((P29/1000)^2*O29*1000,"")</f>
        <v>264.5</v>
      </c>
      <c r="V29" s="76" t="str">
        <f aca="false">IFERROR(IF(Q29&lt;=$D$5,"OK","OVER"),"--")</f>
        <v>OK</v>
      </c>
      <c r="W29" s="77" t="str">
        <f aca="false">TRIM(IF(I29="estimated","* Imax estimated","")&amp;IF(ISNUMBER(Q29),IF(Q29&gt;$D$5," | OVER BUDGET",""),"")&amp;IF(ISNUMBER(R29),IF(R29&gt;0.85," | &gt;85% Imax",""),"")&amp;IF(AND(ISNUMBER(G29),ISNUMBER(E29)),IF(G29-E29&gt;0.5," | Wide Vf range",""),"")&amp;IF(ISNUMBER(U29),IF(U29&gt;250," | R&gt;250mW: use 1206",""),""))</f>
        <v>| R&gt;250mW: use 1206</v>
      </c>
    </row>
    <row r="30" customFormat="false" ht="18" hidden="false" customHeight="true" outlineLevel="0" collapsed="false">
      <c r="A30" s="78" t="s">
        <v>110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9" t="n">
        <f aca="false">IFERROR(MAX(Q15:Q29),"")</f>
        <v>840</v>
      </c>
      <c r="R30" s="80" t="str">
        <f aca="false">IFERROR(IF(MAX(Q15:Q29)&lt;=$D$5,"All groups within budget","Some groups exceed budget -- review column V"),"--")</f>
        <v>Some groups exceed budget -- review column V</v>
      </c>
      <c r="S30" s="80"/>
      <c r="T30" s="80"/>
      <c r="U30" s="80"/>
      <c r="V30" s="80"/>
      <c r="W30" s="80"/>
    </row>
    <row r="32" customFormat="false" ht="27.75" hidden="false" customHeight="true" outlineLevel="0" collapsed="false">
      <c r="A32" s="81" t="s">
        <v>111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</row>
    <row r="34" customFormat="false" ht="15" hidden="false" customHeight="false" outlineLevel="0" collapsed="false">
      <c r="A34" s="82" t="s">
        <v>112</v>
      </c>
      <c r="B34" s="82"/>
      <c r="C34" s="82"/>
      <c r="D34" s="83" t="s">
        <v>113</v>
      </c>
      <c r="E34" s="83"/>
      <c r="F34" s="83"/>
      <c r="G34" s="83"/>
      <c r="H34" s="83"/>
    </row>
    <row r="35" customFormat="false" ht="27.75" hidden="false" customHeight="true" outlineLevel="0" collapsed="false">
      <c r="A35" s="32" t="s">
        <v>114</v>
      </c>
      <c r="B35" s="32" t="s">
        <v>115</v>
      </c>
      <c r="C35" s="32" t="s">
        <v>116</v>
      </c>
      <c r="D35" s="32" t="s">
        <v>117</v>
      </c>
      <c r="E35" s="32" t="s">
        <v>118</v>
      </c>
      <c r="F35" s="32" t="s">
        <v>119</v>
      </c>
    </row>
    <row r="36" customFormat="false" ht="15.75" hidden="false" customHeight="true" outlineLevel="0" collapsed="false">
      <c r="A36" s="84" t="n">
        <f aca="false">A15</f>
        <v>1015</v>
      </c>
      <c r="B36" s="85" t="n">
        <f aca="false">O15</f>
        <v>91</v>
      </c>
      <c r="C36" s="86" t="n">
        <f aca="false">IFERROR(($D$4-G15)/O15*1000,"")</f>
        <v>5.49450549450549</v>
      </c>
      <c r="D36" s="85" t="n">
        <f aca="false">P15</f>
        <v>18.6813186813187</v>
      </c>
      <c r="E36" s="87" t="n">
        <f aca="false">IFERROR(C36/D36,"")</f>
        <v>0.294117647058824</v>
      </c>
      <c r="F36" s="88" t="str">
        <f aca="false">IFERROR(IF(C36&lt;1,"LED OFF at Vf_max",IF(C36&lt;5,"Very dim at Vf_max",IF(E36&lt;0.5,"&gt;50% brightness variation","Acceptable range"))),"--")</f>
        <v>&gt;50% brightness variation</v>
      </c>
    </row>
    <row r="37" customFormat="false" ht="15.75" hidden="false" customHeight="true" outlineLevel="0" collapsed="false">
      <c r="A37" s="84" t="n">
        <f aca="false">A16</f>
        <v>1015</v>
      </c>
      <c r="B37" s="85" t="n">
        <f aca="false">O16</f>
        <v>91</v>
      </c>
      <c r="C37" s="86" t="n">
        <f aca="false">IFERROR(($D$4-G16)/O16*1000,"")</f>
        <v>5.49450549450549</v>
      </c>
      <c r="D37" s="85" t="n">
        <f aca="false">P16</f>
        <v>18.6813186813187</v>
      </c>
      <c r="E37" s="87" t="n">
        <f aca="false">IFERROR(C37/D37,"")</f>
        <v>0.294117647058824</v>
      </c>
      <c r="F37" s="88" t="str">
        <f aca="false">IFERROR(IF(C37&lt;1,"LED OFF at Vf_max",IF(C37&lt;5,"Very dim at Vf_max",IF(E37&lt;0.5,"&gt;50% brightness variation","Acceptable range"))),"--")</f>
        <v>&gt;50% brightness variation</v>
      </c>
    </row>
    <row r="38" customFormat="false" ht="15.75" hidden="false" customHeight="true" outlineLevel="0" collapsed="false">
      <c r="A38" s="84" t="n">
        <f aca="false">A17</f>
        <v>1012</v>
      </c>
      <c r="B38" s="85" t="n">
        <f aca="false">O17</f>
        <v>24</v>
      </c>
      <c r="C38" s="86" t="n">
        <f aca="false">IFERROR(($D$4-G17)/O17*1000,"")</f>
        <v>45.8333333333333</v>
      </c>
      <c r="D38" s="85" t="n">
        <f aca="false">P17</f>
        <v>62.5</v>
      </c>
      <c r="E38" s="87" t="n">
        <f aca="false">IFERROR(C38/D38,"")</f>
        <v>0.733333333333333</v>
      </c>
      <c r="F38" s="88" t="str">
        <f aca="false">IFERROR(IF(C38&lt;1,"LED OFF at Vf_max",IF(C38&lt;5,"Very dim at Vf_max",IF(E38&lt;0.5,"&gt;50% brightness variation","Acceptable range"))),"--")</f>
        <v>Acceptable range</v>
      </c>
    </row>
    <row r="39" customFormat="false" ht="15.75" hidden="false" customHeight="true" outlineLevel="0" collapsed="false">
      <c r="A39" s="84" t="n">
        <f aca="false">A18</f>
        <v>1012</v>
      </c>
      <c r="B39" s="85" t="n">
        <f aca="false">O18</f>
        <v>24</v>
      </c>
      <c r="C39" s="86" t="n">
        <f aca="false">IFERROR(($D$4-G18)/O18*1000,"")</f>
        <v>45.8333333333333</v>
      </c>
      <c r="D39" s="85" t="n">
        <f aca="false">P18</f>
        <v>62.5</v>
      </c>
      <c r="E39" s="87" t="n">
        <f aca="false">IFERROR(C39/D39,"")</f>
        <v>0.733333333333333</v>
      </c>
      <c r="F39" s="88" t="str">
        <f aca="false">IFERROR(IF(C39&lt;1,"LED OFF at Vf_max",IF(C39&lt;5,"Very dim at Vf_max",IF(E39&lt;0.5,"&gt;50% brightness variation","Acceptable range"))),"--")</f>
        <v>Acceptable range</v>
      </c>
    </row>
    <row r="40" customFormat="false" ht="15.75" hidden="false" customHeight="true" outlineLevel="0" collapsed="false">
      <c r="A40" s="84" t="n">
        <f aca="false">A19</f>
        <v>4</v>
      </c>
      <c r="B40" s="85" t="n">
        <f aca="false">O19</f>
        <v>11</v>
      </c>
      <c r="C40" s="86" t="n">
        <f aca="false">IFERROR(($D$4-G19)/O19*1000,"")</f>
        <v>118.181818181818</v>
      </c>
      <c r="D40" s="85" t="n">
        <f aca="false">P19</f>
        <v>140</v>
      </c>
      <c r="E40" s="87" t="n">
        <f aca="false">IFERROR(C40/D40,"")</f>
        <v>0.844155844155844</v>
      </c>
      <c r="F40" s="88" t="str">
        <f aca="false">IFERROR(IF(C40&lt;1,"LED OFF at Vf_max",IF(C40&lt;5,"Very dim at Vf_max",IF(E40&lt;0.5,"&gt;50% brightness variation","Acceptable range"))),"--")</f>
        <v>Acceptable range</v>
      </c>
    </row>
    <row r="41" customFormat="false" ht="15.75" hidden="false" customHeight="true" outlineLevel="0" collapsed="false">
      <c r="A41" s="84" t="n">
        <f aca="false">A20</f>
        <v>4</v>
      </c>
      <c r="B41" s="85" t="n">
        <f aca="false">O20</f>
        <v>11</v>
      </c>
      <c r="C41" s="86" t="n">
        <f aca="false">IFERROR(($D$4-G20)/O20*1000,"")</f>
        <v>118.181818181818</v>
      </c>
      <c r="D41" s="85" t="n">
        <f aca="false">P20</f>
        <v>140</v>
      </c>
      <c r="E41" s="87" t="n">
        <f aca="false">IFERROR(C41/D41,"")</f>
        <v>0.844155844155844</v>
      </c>
      <c r="F41" s="88" t="str">
        <f aca="false">IFERROR(IF(C41&lt;1,"LED OFF at Vf_max",IF(C41&lt;5,"Very dim at Vf_max",IF(E41&lt;0.5,"&gt;50% brightness variation","Acceptable range"))),"--")</f>
        <v>Acceptable range</v>
      </c>
    </row>
    <row r="42" customFormat="false" ht="15.75" hidden="false" customHeight="true" outlineLevel="0" collapsed="false">
      <c r="A42" s="84" t="n">
        <f aca="false">A21</f>
        <v>2</v>
      </c>
      <c r="B42" s="85" t="n">
        <f aca="false">O21</f>
        <v>11</v>
      </c>
      <c r="C42" s="86" t="n">
        <f aca="false">IFERROR(($D$4-G21)/O21*1000,"")</f>
        <v>118.181818181818</v>
      </c>
      <c r="D42" s="85" t="n">
        <f aca="false">P21</f>
        <v>140.909090909091</v>
      </c>
      <c r="E42" s="87" t="n">
        <f aca="false">IFERROR(C42/D42,"")</f>
        <v>0.838709677419355</v>
      </c>
      <c r="F42" s="88" t="str">
        <f aca="false">IFERROR(IF(C42&lt;1,"LED OFF at Vf_max",IF(C42&lt;5,"Very dim at Vf_max",IF(E42&lt;0.5,"&gt;50% brightness variation","Acceptable range"))),"--")</f>
        <v>Acceptable range</v>
      </c>
    </row>
    <row r="43" customFormat="false" ht="15.75" hidden="false" customHeight="true" outlineLevel="0" collapsed="false">
      <c r="A43" s="84" t="n">
        <f aca="false">A22</f>
        <v>1014</v>
      </c>
      <c r="B43" s="85" t="n">
        <f aca="false">O22</f>
        <v>11</v>
      </c>
      <c r="C43" s="86" t="n">
        <f aca="false">IFERROR(($D$4-G22)/O22*1000,"")</f>
        <v>90.9090909090909</v>
      </c>
      <c r="D43" s="85" t="n">
        <f aca="false">P22</f>
        <v>118.181818181818</v>
      </c>
      <c r="E43" s="87" t="n">
        <f aca="false">IFERROR(C43/D43,"")</f>
        <v>0.769230769230769</v>
      </c>
      <c r="F43" s="88" t="str">
        <f aca="false">IFERROR(IF(C43&lt;1,"LED OFF at Vf_max",IF(C43&lt;5,"Very dim at Vf_max",IF(E43&lt;0.5,"&gt;50% brightness variation","Acceptable range"))),"--")</f>
        <v>Acceptable range</v>
      </c>
    </row>
    <row r="44" customFormat="false" ht="15.75" hidden="false" customHeight="true" outlineLevel="0" collapsed="false">
      <c r="A44" s="84" t="n">
        <f aca="false">A23</f>
        <v>102</v>
      </c>
      <c r="B44" s="85" t="n">
        <f aca="false">O23</f>
        <v>11</v>
      </c>
      <c r="C44" s="86" t="n">
        <f aca="false">IFERROR(($D$4-G23)/O23*1000,"")</f>
        <v>90.9090909090909</v>
      </c>
      <c r="D44" s="85" t="n">
        <f aca="false">P23</f>
        <v>118.181818181818</v>
      </c>
      <c r="E44" s="87" t="n">
        <f aca="false">IFERROR(C44/D44,"")</f>
        <v>0.769230769230769</v>
      </c>
      <c r="F44" s="88" t="str">
        <f aca="false">IFERROR(IF(C44&lt;1,"LED OFF at Vf_max",IF(C44&lt;5,"Very dim at Vf_max",IF(E44&lt;0.5,"&gt;50% brightness variation","Acceptable range"))),"--")</f>
        <v>Acceptable range</v>
      </c>
    </row>
    <row r="45" customFormat="false" ht="15.75" hidden="false" customHeight="true" outlineLevel="0" collapsed="false">
      <c r="A45" s="84" t="n">
        <f aca="false">A24</f>
        <v>1</v>
      </c>
      <c r="B45" s="85" t="n">
        <f aca="false">O24</f>
        <v>12</v>
      </c>
      <c r="C45" s="86" t="n">
        <f aca="false">IFERROR(($D$4-G24)/O24*1000,"")</f>
        <v>108.333333333333</v>
      </c>
      <c r="D45" s="85" t="n">
        <f aca="false">P24</f>
        <v>141.666666666667</v>
      </c>
      <c r="E45" s="87" t="n">
        <f aca="false">IFERROR(C45/D45,"")</f>
        <v>0.764705882352941</v>
      </c>
      <c r="F45" s="88" t="str">
        <f aca="false">IFERROR(IF(C45&lt;1,"LED OFF at Vf_max",IF(C45&lt;5,"Very dim at Vf_max",IF(E45&lt;0.5,"&gt;50% brightness variation","Acceptable range"))),"--")</f>
        <v>Acceptable range</v>
      </c>
    </row>
    <row r="46" customFormat="false" ht="15.75" hidden="false" customHeight="true" outlineLevel="0" collapsed="false">
      <c r="A46" s="84" t="n">
        <f aca="false">A25</f>
        <v>532</v>
      </c>
      <c r="B46" s="85" t="n">
        <f aca="false">O25</f>
        <v>75</v>
      </c>
      <c r="C46" s="86" t="n">
        <f aca="false">IFERROR(($D$4-G25)/O25*1000,"")</f>
        <v>13.3333333333333</v>
      </c>
      <c r="D46" s="85" t="n">
        <f aca="false">P25</f>
        <v>18.6666666666667</v>
      </c>
      <c r="E46" s="87" t="n">
        <f aca="false">IFERROR(C46/D46,"")</f>
        <v>0.714285714285714</v>
      </c>
      <c r="F46" s="88" t="str">
        <f aca="false">IFERROR(IF(C46&lt;1,"LED OFF at Vf_max",IF(C46&lt;5,"Very dim at Vf_max",IF(E46&lt;0.5,"&gt;50% brightness variation","Acceptable range"))),"--")</f>
        <v>Acceptable range</v>
      </c>
    </row>
    <row r="47" customFormat="false" ht="15.75" hidden="false" customHeight="true" outlineLevel="0" collapsed="false">
      <c r="A47" s="84" t="n">
        <f aca="false">A26</f>
        <v>783</v>
      </c>
      <c r="B47" s="85" t="n">
        <f aca="false">O26</f>
        <v>9.1</v>
      </c>
      <c r="C47" s="86" t="n">
        <f aca="false">IFERROR(($D$4-G26)/O26*1000,"")</f>
        <v>76.923076923077</v>
      </c>
      <c r="D47" s="85" t="n">
        <f aca="false">P26</f>
        <v>120.879120879121</v>
      </c>
      <c r="E47" s="87" t="n">
        <f aca="false">IFERROR(C47/D47,"")</f>
        <v>0.636363636363637</v>
      </c>
      <c r="F47" s="88" t="str">
        <f aca="false">IFERROR(IF(C47&lt;1,"LED OFF at Vf_max",IF(C47&lt;5,"Very dim at Vf_max",IF(E47&lt;0.5,"&gt;50% brightness variation","Acceptable range"))),"--")</f>
        <v>Acceptable range</v>
      </c>
    </row>
    <row r="48" customFormat="false" ht="15.75" hidden="false" customHeight="true" outlineLevel="0" collapsed="false">
      <c r="A48" s="84" t="n">
        <f aca="false">A27</f>
        <v>3</v>
      </c>
      <c r="B48" s="85" t="n">
        <f aca="false">O27</f>
        <v>15</v>
      </c>
      <c r="C48" s="86" t="n">
        <f aca="false">IFERROR(($D$4-G27)/O27*1000,"")</f>
        <v>126.666666666667</v>
      </c>
      <c r="D48" s="85" t="n">
        <f aca="false">P27</f>
        <v>153.333333333333</v>
      </c>
      <c r="E48" s="87" t="n">
        <f aca="false">IFERROR(C48/D48,"")</f>
        <v>0.826086956521739</v>
      </c>
      <c r="F48" s="88" t="str">
        <f aca="false">IFERROR(IF(C48&lt;1,"LED OFF at Vf_max",IF(C48&lt;5,"Very dim at Vf_max",IF(E48&lt;0.5,"&gt;50% brightness variation","Acceptable range"))),"--")</f>
        <v>Acceptable range</v>
      </c>
    </row>
    <row r="49" customFormat="false" ht="15.75" hidden="false" customHeight="true" outlineLevel="0" collapsed="false">
      <c r="A49" s="84" t="n">
        <f aca="false">A28</f>
        <v>727</v>
      </c>
      <c r="B49" s="85" t="n">
        <f aca="false">O28</f>
        <v>20</v>
      </c>
      <c r="C49" s="86" t="n">
        <f aca="false">IFERROR(($D$4-G28)/O28*1000,"")</f>
        <v>105</v>
      </c>
      <c r="D49" s="85" t="n">
        <f aca="false">P28</f>
        <v>125</v>
      </c>
      <c r="E49" s="87" t="n">
        <f aca="false">IFERROR(C49/D49,"")</f>
        <v>0.84</v>
      </c>
      <c r="F49" s="88" t="str">
        <f aca="false">IFERROR(IF(C49&lt;1,"LED OFF at Vf_max",IF(C49&lt;5,"Very dim at Vf_max",IF(E49&lt;0.5,"&gt;50% brightness variation","Acceptable range"))),"--")</f>
        <v>Acceptable range</v>
      </c>
    </row>
    <row r="50" customFormat="false" ht="15.75" hidden="false" customHeight="true" outlineLevel="0" collapsed="false">
      <c r="A50" s="84" t="n">
        <f aca="false">A29</f>
        <v>6</v>
      </c>
      <c r="B50" s="85" t="n">
        <f aca="false">O29</f>
        <v>20</v>
      </c>
      <c r="C50" s="86" t="n">
        <f aca="false">IFERROR(($D$4-G29)/O29*1000,"")</f>
        <v>95</v>
      </c>
      <c r="D50" s="85" t="n">
        <f aca="false">P29</f>
        <v>115</v>
      </c>
      <c r="E50" s="87" t="n">
        <f aca="false">IFERROR(C50/D50,"")</f>
        <v>0.826086956521739</v>
      </c>
      <c r="F50" s="88" t="str">
        <f aca="false">IFERROR(IF(C50&lt;1,"LED OFF at Vf_max",IF(C50&lt;5,"Very dim at Vf_max",IF(E50&lt;0.5,"&gt;50% brightness variation","Acceptable range"))),"--")</f>
        <v>Acceptable range</v>
      </c>
    </row>
  </sheetData>
  <mergeCells count="16">
    <mergeCell ref="A1:W1"/>
    <mergeCell ref="A3:C3"/>
    <mergeCell ref="A4:B4"/>
    <mergeCell ref="F4:W4"/>
    <mergeCell ref="A5:B5"/>
    <mergeCell ref="F5:W5"/>
    <mergeCell ref="A6:B6"/>
    <mergeCell ref="F6:W6"/>
    <mergeCell ref="A7:B7"/>
    <mergeCell ref="F7:W7"/>
    <mergeCell ref="A9:C9"/>
    <mergeCell ref="A30:P30"/>
    <mergeCell ref="R30:U30"/>
    <mergeCell ref="A32:W32"/>
    <mergeCell ref="A34:C34"/>
    <mergeCell ref="D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2026-04-03T20:10:00Z</dcterms:created>
  <dc:creator>openpyxl</dc:creator>
  <dc:description/>
  <dc:language>en-US</dc:language>
  <cp:lastModifiedBy/>
  <dcterms:modified xsi:type="dcterms:W3CDTF">2026-04-04T11:04:32Z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